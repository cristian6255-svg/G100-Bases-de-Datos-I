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grama Entidad-Relación (corr" sheetId="1" r:id="rId4"/>
    <sheet state="visible" name="Normalización (revisión)" sheetId="2" r:id="rId5"/>
    <sheet state="visible" name="Diccionario de Datos FÍSICO" sheetId="3" r:id="rId6"/>
    <sheet state="visible" name="Tablas Modificadas" sheetId="4" r:id="rId7"/>
  </sheets>
  <definedNames/>
  <calcPr/>
</workbook>
</file>

<file path=xl/sharedStrings.xml><?xml version="1.0" encoding="utf-8"?>
<sst xmlns="http://schemas.openxmlformats.org/spreadsheetml/2006/main" count="1163" uniqueCount="371">
  <si>
    <t>Diagrama de Entidad - Relación de Chen</t>
  </si>
  <si>
    <t>Revisión del Proceso de Normalizació (1FN, 2FN, 3FN)</t>
  </si>
  <si>
    <t>En la anterior tarea debió proponer un proceso de normalización. En ese proceso, si se cometieron errores o no se culminó o no se propusieron las tablas resultantes del Modelo Conceptual; debe realizar las correcciones y explicar los errores y la solución en este apartado.</t>
  </si>
  <si>
    <t>Descripción de las correcciones del proceso de Normalización para llegar a 3FN</t>
  </si>
  <si>
    <t>#</t>
  </si>
  <si>
    <t>Error o Falta en el resultado del Modelo Lógico</t>
  </si>
  <si>
    <t>Solución (corrección)</t>
  </si>
  <si>
    <t>Existían datos no atómicos en algunas entidades</t>
  </si>
  <si>
    <t>Se dividieron en atributos simples según 1FN</t>
  </si>
  <si>
    <t>Había dependencias parciales en claves compuestas</t>
  </si>
  <si>
    <t>Se crearon nuevas tablas dependientes para cumplir 2FN</t>
  </si>
  <si>
    <t>Se encontraron dependencias transitivas entre atributos no clave</t>
  </si>
  <si>
    <t>Se movieron los atributos a nuevas tablas relacionadas 3FN</t>
  </si>
  <si>
    <t>Varias tablas mezclaban información de dos entidades distintas</t>
  </si>
  <si>
    <t>Se separaron en tablas independientes con PK propias</t>
  </si>
  <si>
    <t>Algunos atributos dependían de otras tablas y no de la PK</t>
  </si>
  <si>
    <t>Se reubicaron en entidades donde sí hubiese dependencia funcional</t>
  </si>
  <si>
    <t>Identificadores no estaban correctamente definidos como PK</t>
  </si>
  <si>
    <t>Se crearon PK claras y consistentes por tabla</t>
  </si>
  <si>
    <t>Relaciones muchos-a-muchos estaban incrustadas como atributos</t>
  </si>
  <si>
    <t>Se crearon tablas intermedias para resolver M:N</t>
  </si>
  <si>
    <t>Había datos repetidos en varias tablas</t>
  </si>
  <si>
    <t>Se creó una entidad independiente y se reemplazaron por FK</t>
  </si>
  <si>
    <t>No se habían definido restricciones FK entre las relaciones</t>
  </si>
  <si>
    <t>Se agregaron llaves foráneas adecuadamente</t>
  </si>
  <si>
    <t>Había redundancia lógica por mezcla de información</t>
  </si>
  <si>
    <t>Se eliminaron redundancias creando tablas normalizadas</t>
  </si>
  <si>
    <t>Aunque en la tarea anterior no hubo observaciones del profesor sobre la normalización, se realizó una revisión interna del modelo. A partir de esta revisión registramos las mejoras identificadas, las cuales se resumen en la tabla para asegurar el cumplimiento de 1FN, 2FN y 3FN</t>
  </si>
  <si>
    <t>Inventario de Tablas (Normalización)</t>
  </si>
  <si>
    <t>Nombre tabla</t>
  </si>
  <si>
    <t>Tipo</t>
  </si>
  <si>
    <t>Todas estas deben estar presentes en el Diccionario de Datos Físico</t>
  </si>
  <si>
    <t>eps</t>
  </si>
  <si>
    <t>E</t>
  </si>
  <si>
    <t>Deben tener los mismos nombres de tablas aquí y en el diccionario físico</t>
  </si>
  <si>
    <t>ubicacion</t>
  </si>
  <si>
    <t>Establecer que tipo de origen tiene la tabla: E=Entidad o R=Relación</t>
  </si>
  <si>
    <t>hospital</t>
  </si>
  <si>
    <t>planta</t>
  </si>
  <si>
    <t>habitacion</t>
  </si>
  <si>
    <t>cama</t>
  </si>
  <si>
    <t>paciente</t>
  </si>
  <si>
    <t>familiar</t>
  </si>
  <si>
    <t>especialidad</t>
  </si>
  <si>
    <t>medico</t>
  </si>
  <si>
    <t>medicamento</t>
  </si>
  <si>
    <t>enfermera</t>
  </si>
  <si>
    <t>tarjeta</t>
  </si>
  <si>
    <t>registro</t>
  </si>
  <si>
    <t>R</t>
  </si>
  <si>
    <t>diagnostico</t>
  </si>
  <si>
    <t>tratamiento</t>
  </si>
  <si>
    <t>asignacion</t>
  </si>
  <si>
    <t>autorizacion</t>
  </si>
  <si>
    <t>entrada</t>
  </si>
  <si>
    <t>alta</t>
  </si>
  <si>
    <t>cita</t>
  </si>
  <si>
    <t>visita</t>
  </si>
  <si>
    <t>telefono</t>
  </si>
  <si>
    <t>consulta</t>
  </si>
  <si>
    <t>prescripcion</t>
  </si>
  <si>
    <t xml:space="preserve"> </t>
  </si>
  <si>
    <t>Nombre Tabla</t>
  </si>
  <si>
    <t>Descripción Tabla</t>
  </si>
  <si>
    <t>Observaciones</t>
  </si>
  <si>
    <t>Contiene los datos identificativos de la EPS</t>
  </si>
  <si>
    <t>Se relaciona con pacientes afiliados</t>
  </si>
  <si>
    <t>Información sobre la localización geográfica del hospital</t>
  </si>
  <si>
    <t>Determina ciudad y país del hospital</t>
  </si>
  <si>
    <t>Registra datos principales del hospital</t>
  </si>
  <si>
    <t>Se vincula con ubicación y plantas</t>
  </si>
  <si>
    <t>Almacena información de las plantas del hospital</t>
  </si>
  <si>
    <t>Relacionada con hospital y habitaciones</t>
  </si>
  <si>
    <t>Registra las habitaciones disponibles en el hospital</t>
  </si>
  <si>
    <t>Pertenece a una planta específica</t>
  </si>
  <si>
    <t>Registra las camas disponibles en cada habitación</t>
  </si>
  <si>
    <t>Asignada a pacientes según ingreso</t>
  </si>
  <si>
    <t>Registra información básica del paciente</t>
  </si>
  <si>
    <t>Contiene datos personales y de identificación</t>
  </si>
  <si>
    <t>Identifica familiares de los pacientes</t>
  </si>
  <si>
    <t>Incluye parentesco y datos de contacto</t>
  </si>
  <si>
    <t>Contiene la información de las áreas de especialidad médica</t>
  </si>
  <si>
    <t>Clasifica el tipo de atención médica</t>
  </si>
  <si>
    <t>Registra la información del profesional que atiende a los pacientes</t>
  </si>
  <si>
    <t>Asociado a especialidad y citas médicas</t>
  </si>
  <si>
    <t>Registra los medicamentos disponibles y sus características</t>
  </si>
  <si>
    <t>Contiene nombre, dosis y duración del uso</t>
  </si>
  <si>
    <t>Registra información del personal de enfermería</t>
  </si>
  <si>
    <t>Relacionada con hospital y atención al paciente</t>
  </si>
  <si>
    <t>Controla tarjetas de visita asignadas a pacientes</t>
  </si>
  <si>
    <t>Define disponibilidad y uso de tarjetas</t>
  </si>
  <si>
    <t>Administra eventos clínicos del paciente</t>
  </si>
  <si>
    <t>Centraliza ingresos, altas y tratamientos</t>
  </si>
  <si>
    <t>Registra los diagnósticos realizados a los pacientes</t>
  </si>
  <si>
    <t>Asociado a médicos y tratamientos</t>
  </si>
  <si>
    <t>Detalla tratamientos aplicados a los pacientes</t>
  </si>
  <si>
    <t>Relacionado con diagnóstico y medicamentos</t>
  </si>
  <si>
    <t>Controla camas asignadas a los pacientes</t>
  </si>
  <si>
    <t>Relaciona paciente, habitación y cama</t>
  </si>
  <si>
    <t>Detalla las autorizaciones otorgadas</t>
  </si>
  <si>
    <t>Vincula prescripciones y validaciones médicas</t>
  </si>
  <si>
    <t>Registra los ingresos hospitalarios del paciente</t>
  </si>
  <si>
    <t>Indica fecha y lugar de ingreso</t>
  </si>
  <si>
    <t>Registra datos del alta médica de los pacientes</t>
  </si>
  <si>
    <t>Indica fecha de egreso y estado del paciente</t>
  </si>
  <si>
    <t>Registra información sobre las citas médicas</t>
  </si>
  <si>
    <t>Vincula paciente, médico y fecha programada</t>
  </si>
  <si>
    <t>Registra las visitas realizadas a los pacientes</t>
  </si>
  <si>
    <t>Relaciona visitante, paciente y tarjeta usada</t>
  </si>
  <si>
    <t>Registra teléfonos de pacientes, médicos y familiares</t>
  </si>
  <si>
    <t>Permite contacto según tipo de persona</t>
  </si>
  <si>
    <t>Registra las consultas médicas realizadas a los pacientes</t>
  </si>
  <si>
    <t>Vincula médico, paciente y diagnóstico</t>
  </si>
  <si>
    <t>Registra prescripciones de medicamentos</t>
  </si>
  <si>
    <t>Asociada a diagnóstico y tratamiento</t>
  </si>
  <si>
    <t>Tablas en Detalle</t>
  </si>
  <si>
    <t>Tabla</t>
  </si>
  <si>
    <t xml:space="preserve">Descripción </t>
  </si>
  <si>
    <t>Versión</t>
  </si>
  <si>
    <t>Campo</t>
  </si>
  <si>
    <t>Descripción Campo</t>
  </si>
  <si>
    <t>Tipo Dato
(SGBD)</t>
  </si>
  <si>
    <t>Tamaño / Longitud</t>
  </si>
  <si>
    <t>Nulo</t>
  </si>
  <si>
    <t>PK</t>
  </si>
  <si>
    <t>FK</t>
  </si>
  <si>
    <t>UK</t>
  </si>
  <si>
    <t>CHECK</t>
  </si>
  <si>
    <t>id_eps</t>
  </si>
  <si>
    <t>Identificador único de la EPS</t>
  </si>
  <si>
    <t>NO</t>
  </si>
  <si>
    <t>SI</t>
  </si>
  <si>
    <t>Dato obligatorio</t>
  </si>
  <si>
    <t>nombre</t>
  </si>
  <si>
    <t>Nombre de la EPS</t>
  </si>
  <si>
    <t>Nombre obligatorio</t>
  </si>
  <si>
    <t>id_ubicacion</t>
  </si>
  <si>
    <t>Identificador de ubicación</t>
  </si>
  <si>
    <t>ciudad</t>
  </si>
  <si>
    <t>Ciudad donde se ubica</t>
  </si>
  <si>
    <t>ciudad &lt;&gt; "</t>
  </si>
  <si>
    <t>Ciudad obligatoria</t>
  </si>
  <si>
    <t>departamento</t>
  </si>
  <si>
    <t>Departamento donde se ubica</t>
  </si>
  <si>
    <t>departamento &lt;&gt; "</t>
  </si>
  <si>
    <t>Departamento obligatorio</t>
  </si>
  <si>
    <t>pais</t>
  </si>
  <si>
    <t>País donde se ubica</t>
  </si>
  <si>
    <t>pais &lt;&gt;"</t>
  </si>
  <si>
    <t>País obligatorio</t>
  </si>
  <si>
    <t>id_hospital</t>
  </si>
  <si>
    <t>Identificador único del hospital</t>
  </si>
  <si>
    <t>Nombre del hospital</t>
  </si>
  <si>
    <t>Identificador único de la ubicación</t>
  </si>
  <si>
    <t>FK hacia ubicacion</t>
  </si>
  <si>
    <t>id_planta</t>
  </si>
  <si>
    <t>Identificador único de la planta</t>
  </si>
  <si>
    <t>numero</t>
  </si>
  <si>
    <t>Número de la planta dentro del hospital</t>
  </si>
  <si>
    <t>INTEGER</t>
  </si>
  <si>
    <t>numero &gt; 0</t>
  </si>
  <si>
    <t>Valor &gt; 0</t>
  </si>
  <si>
    <t>Nombre de la planta</t>
  </si>
  <si>
    <t>Campo opcional</t>
  </si>
  <si>
    <t>Identificador del hospital</t>
  </si>
  <si>
    <t>FK hacia hospital</t>
  </si>
  <si>
    <t>id_habitacion</t>
  </si>
  <si>
    <t>Identificador único de la habitación</t>
  </si>
  <si>
    <t>Número de la habitación</t>
  </si>
  <si>
    <t>Identificador de la planta</t>
  </si>
  <si>
    <t>FK hacia planta</t>
  </si>
  <si>
    <t>id_cama</t>
  </si>
  <si>
    <t>Identificador único de la cama</t>
  </si>
  <si>
    <t>CHARACTER VARYING</t>
  </si>
  <si>
    <t>Número de cama</t>
  </si>
  <si>
    <t>Identificador de la habitación</t>
  </si>
  <si>
    <t>FK hacia habitacion</t>
  </si>
  <si>
    <t>002_agregar_columna_check</t>
  </si>
  <si>
    <t>id_paciente</t>
  </si>
  <si>
    <t>Identificador único del paciente</t>
  </si>
  <si>
    <t>Nombre del paciente</t>
  </si>
  <si>
    <t>nombre &lt;&gt; ''</t>
  </si>
  <si>
    <t>apellido</t>
  </si>
  <si>
    <t>Apellido del paciente</t>
  </si>
  <si>
    <t>apellido &lt;&gt; ''</t>
  </si>
  <si>
    <t>fecha_nacimiento</t>
  </si>
  <si>
    <t>Fecha de nacimiento</t>
  </si>
  <si>
    <t>DATE</t>
  </si>
  <si>
    <t>fecha_nacimiento &lt;= CURRENT_DATE</t>
  </si>
  <si>
    <t>Fecha no futura</t>
  </si>
  <si>
    <t>ciudad_nacimiento</t>
  </si>
  <si>
    <t>Ciudad de nacimiento</t>
  </si>
  <si>
    <t>pais_nacimiento</t>
  </si>
  <si>
    <t>País de nacimiento</t>
  </si>
  <si>
    <t>Identificador de la EPS</t>
  </si>
  <si>
    <t>FK hacia eps</t>
  </si>
  <si>
    <t>id_familiar</t>
  </si>
  <si>
    <t>Identificador único del familiar</t>
  </si>
  <si>
    <t>Nombre del familiar</t>
  </si>
  <si>
    <t>Apellido del familiar</t>
  </si>
  <si>
    <t>parentesco</t>
  </si>
  <si>
    <t>Relación familiar</t>
  </si>
  <si>
    <t>parentesco IN ('madre','padre','hijo','hija')</t>
  </si>
  <si>
    <t>Parentesco válido</t>
  </si>
  <si>
    <t>Identificador del paciente</t>
  </si>
  <si>
    <t>FK hacia paciente</t>
  </si>
  <si>
    <t>id_especialidad</t>
  </si>
  <si>
    <t>Identificador único de la especialidad</t>
  </si>
  <si>
    <t>Nombre de la especialidad</t>
  </si>
  <si>
    <t>descripcion</t>
  </si>
  <si>
    <t>Descripción de la especialidad</t>
  </si>
  <si>
    <t>TEXT</t>
  </si>
  <si>
    <t>id_medico</t>
  </si>
  <si>
    <t>Identificador único del médico</t>
  </si>
  <si>
    <t>Nombre del médico</t>
  </si>
  <si>
    <t>Apellido del médico</t>
  </si>
  <si>
    <t>id_medicamento</t>
  </si>
  <si>
    <t>Identificador único del medicamento</t>
  </si>
  <si>
    <t>Nombre del medicamento</t>
  </si>
  <si>
    <t>dosis</t>
  </si>
  <si>
    <t>Dosis del medicamento</t>
  </si>
  <si>
    <t>DECIMAL</t>
  </si>
  <si>
    <t>dosis &lt;&gt; ''</t>
  </si>
  <si>
    <t>Dosis válida</t>
  </si>
  <si>
    <t>id_enfermera</t>
  </si>
  <si>
    <t>Identificador único de la enfermera</t>
  </si>
  <si>
    <t>Nombre de la enfermera</t>
  </si>
  <si>
    <t>Apellido de la enfermera</t>
  </si>
  <si>
    <t>id_tarjeta</t>
  </si>
  <si>
    <t>Identificador único de la tarjeta</t>
  </si>
  <si>
    <t>estado</t>
  </si>
  <si>
    <t>Estado actual de la tarjeta</t>
  </si>
  <si>
    <t>estado IN ('activa','inactiva')</t>
  </si>
  <si>
    <t>Estados válidos</t>
  </si>
  <si>
    <t>fecha</t>
  </si>
  <si>
    <t>Fecha de entrega</t>
  </si>
  <si>
    <t>id_registro</t>
  </si>
  <si>
    <t>Identificador único del registro</t>
  </si>
  <si>
    <t>tipo</t>
  </si>
  <si>
    <t>Tipo de registro</t>
  </si>
  <si>
    <t>tipo IN ('entrada','salida','control','procedimiento')</t>
  </si>
  <si>
    <t>Categoría válida</t>
  </si>
  <si>
    <t>Fecha del registro</t>
  </si>
  <si>
    <t>fecha &lt;= CURRENT_DATE</t>
  </si>
  <si>
    <t>id_diagnostico</t>
  </si>
  <si>
    <t>Identificador único del diagnóstico</t>
  </si>
  <si>
    <t>Fecha del diagnóstico</t>
  </si>
  <si>
    <t>Descripción del diagnóstico</t>
  </si>
  <si>
    <t>descripcion &lt;&gt; ''</t>
  </si>
  <si>
    <t>Identificador del médico</t>
  </si>
  <si>
    <t>FK hacia medico</t>
  </si>
  <si>
    <t>id_tratamiento</t>
  </si>
  <si>
    <t>Identificador único del tratamiento</t>
  </si>
  <si>
    <t>duracion</t>
  </si>
  <si>
    <t>Número de días del tratamiento</t>
  </si>
  <si>
    <t>duracion &gt; 0</t>
  </si>
  <si>
    <t>Valor positivo</t>
  </si>
  <si>
    <t>Identificador del diagnóstico</t>
  </si>
  <si>
    <t>FK hacia diagnostico</t>
  </si>
  <si>
    <t>id_asignacion</t>
  </si>
  <si>
    <t>Identificador único de la asignación</t>
  </si>
  <si>
    <t>Fecha de la asignación</t>
  </si>
  <si>
    <t>Identificador del registro</t>
  </si>
  <si>
    <t>FK hacia registro</t>
  </si>
  <si>
    <t>Identificador de la cama</t>
  </si>
  <si>
    <t>FK hacia cama</t>
  </si>
  <si>
    <t>id_autorizacion</t>
  </si>
  <si>
    <t>Identificador único de la autorización</t>
  </si>
  <si>
    <t>Tipo de permiso otorgado</t>
  </si>
  <si>
    <t>tipo IN ('visita','procedimiento')</t>
  </si>
  <si>
    <t>Tipo válido</t>
  </si>
  <si>
    <t>Fecha de autorización</t>
  </si>
  <si>
    <t>Identificador del familiar</t>
  </si>
  <si>
    <t>FK hacia familiar</t>
  </si>
  <si>
    <t>id_entrada</t>
  </si>
  <si>
    <t>Identificador único de la entrada</t>
  </si>
  <si>
    <t>Fecha de ingreso</t>
  </si>
  <si>
    <t>Identificador de la autorización</t>
  </si>
  <si>
    <t>FK hacia autorizacion</t>
  </si>
  <si>
    <t>id_alta</t>
  </si>
  <si>
    <t>Identificador único del alta</t>
  </si>
  <si>
    <t>Fecha del alta</t>
  </si>
  <si>
    <t>hora</t>
  </si>
  <si>
    <t>Hora del alta</t>
  </si>
  <si>
    <t>TIME</t>
  </si>
  <si>
    <t>id_cita</t>
  </si>
  <si>
    <t>Identificador único de la cita</t>
  </si>
  <si>
    <t>Fecha de la cita</t>
  </si>
  <si>
    <t>fecha &gt;= CURRENT_DATE</t>
  </si>
  <si>
    <t>Fecha futura</t>
  </si>
  <si>
    <t>id_visita</t>
  </si>
  <si>
    <t>Identificador único de la visita</t>
  </si>
  <si>
    <t>Nombre de la persona que visita</t>
  </si>
  <si>
    <t>Apellido de la persona que visita</t>
  </si>
  <si>
    <t>Fecha de la visita</t>
  </si>
  <si>
    <t>Identificador de la autorizacion</t>
  </si>
  <si>
    <t>Identificador de la tarjeta</t>
  </si>
  <si>
    <t>FK hacia tarjeta</t>
  </si>
  <si>
    <t>id_telefono</t>
  </si>
  <si>
    <t>Identificador único del teléfono</t>
  </si>
  <si>
    <t>Número telefónico</t>
  </si>
  <si>
    <t>numero &lt;&gt; ''</t>
  </si>
  <si>
    <t>Tipo de contacto</t>
  </si>
  <si>
    <t>tipo IN ('movil','fijo')</t>
  </si>
  <si>
    <t>id_consulta</t>
  </si>
  <si>
    <t>Identificador único de la consulta</t>
  </si>
  <si>
    <t>Fecha de la consulta</t>
  </si>
  <si>
    <t>Identificador del tratamiento</t>
  </si>
  <si>
    <t>FK hacia tratamiento</t>
  </si>
  <si>
    <t>id_prescripcion</t>
  </si>
  <si>
    <t>Identificador único de la prescripción</t>
  </si>
  <si>
    <t>Fecha de la prescripción</t>
  </si>
  <si>
    <t>Identificador del medicamento</t>
  </si>
  <si>
    <t>FK hacia medicamento</t>
  </si>
  <si>
    <t>DICCIONARIO DE DATOS</t>
  </si>
  <si>
    <t>Inventario de Tablas "Modificadas"</t>
  </si>
  <si>
    <t>Agregar Índices</t>
  </si>
  <si>
    <t># Tabla</t>
  </si>
  <si>
    <t>Instrucción SQL - DDL</t>
  </si>
  <si>
    <t>CREATE INDEX idx_paciente_apellido ON paciente(apellido);</t>
  </si>
  <si>
    <t>Búsquedas rápidas por apellido</t>
  </si>
  <si>
    <t>CREATE INDEX idx_medico_id_hospital ON medico(id_hospital);</t>
  </si>
  <si>
    <t>Optimiza consultas por hospital</t>
  </si>
  <si>
    <t>CREATE INDEX idx_cita_fecha ON cita(fecha);</t>
  </si>
  <si>
    <t>Mejora consultas por fechas programadas</t>
  </si>
  <si>
    <t>CREATE INDEX idx_diagnostico_id_paciente ON diagnostico(id_paciente);</t>
  </si>
  <si>
    <t>Agiliza historiales clínicos</t>
  </si>
  <si>
    <t>CREATE INDEX idx_tratamiento_id_diagnostico ON tratamiento(id_diagnostico);</t>
  </si>
  <si>
    <t>Optimiza relación diagnóstico–tratamiento</t>
  </si>
  <si>
    <t>Agregar Campos</t>
  </si>
  <si>
    <t>sexo VARCHAR(10)</t>
  </si>
  <si>
    <t>ALTER TABLE paciente ADD COLUMN sexo VARCHAR(10);</t>
  </si>
  <si>
    <t>Información básica del paciente</t>
  </si>
  <si>
    <t>licencia VARCHAR(20)</t>
  </si>
  <si>
    <t>ALTER TABLE medico ADD COLUMN licencia VARCHAR(20);</t>
  </si>
  <si>
    <t>Número de licencia médica</t>
  </si>
  <si>
    <t>nivel_planta INTEGER</t>
  </si>
  <si>
    <t>ALTER TABLE hospital ADD COLUMN nivel_planta INTEGER;</t>
  </si>
  <si>
    <t>Total de plantas del hospital</t>
  </si>
  <si>
    <t>estado VARCHAR(20)</t>
  </si>
  <si>
    <t>ALTER TABLE cita ADD COLUMN estado VARCHAR(20);</t>
  </si>
  <si>
    <t>Estado: programada/atendida/cancelada</t>
  </si>
  <si>
    <t>unidad VARCHAR(20)</t>
  </si>
  <si>
    <t>ALTER TABLE medicamento ADD COLUMN unidad VARCHAR(20);</t>
  </si>
  <si>
    <t>mg, ml, tabletas</t>
  </si>
  <si>
    <t>Agregar Checks</t>
  </si>
  <si>
    <t>sexo</t>
  </si>
  <si>
    <t>ALTER TABLE paciente ADD CONSTRAINT chk_paciente_sexo CHECK (sexo IN ('masculino','femenino','otro'));</t>
  </si>
  <si>
    <t>Sexo válido</t>
  </si>
  <si>
    <t>licencia</t>
  </si>
  <si>
    <t>ALTER TABLE medico ADD CONSTRAINT chk_medico_licencia CHECK (licencia &lt;&gt; '');</t>
  </si>
  <si>
    <t>Licencia no vacía</t>
  </si>
  <si>
    <t>nivel_planta</t>
  </si>
  <si>
    <t>ALTER TABLE hospital ADD CONSTRAINT chk_hospital_nivel_planta CHECK (nivel_planta &gt; 0);</t>
  </si>
  <si>
    <t>Número de plantas &gt; 0</t>
  </si>
  <si>
    <t>ALTER TABLE cita ADD CONSTRAINT chk_cita_estado CHECK (estado IN ('programada','atendida','cancelada'));</t>
  </si>
  <si>
    <t>Estados permitidos</t>
  </si>
  <si>
    <t>unidad</t>
  </si>
  <si>
    <t>ALTER TABLE medicamento ADD CONSTRAINT chk_medicamento_unidad CHECK (unidad &lt;&gt; '');</t>
  </si>
  <si>
    <t>Unidad no vacía</t>
  </si>
  <si>
    <t>Modificar "Nombre Campo"</t>
  </si>
  <si>
    <t>ALTER TABLE paciente RENAME COLUMN ciudad_nacimiento TO ciudad_origen;</t>
  </si>
  <si>
    <t>Nombre más claro sobre el origen del paciente</t>
  </si>
  <si>
    <t>ALTER TABLE hospital RENAME COLUMN nombre TO nombre_hospital;</t>
  </si>
  <si>
    <t>Evita confusiones en consultas con otras tablas</t>
  </si>
  <si>
    <t>ALTER TABLE medico RENAME COLUMN apellido TO apellido_medico;</t>
  </si>
  <si>
    <t>Aporta claridad en reportes y joins</t>
  </si>
  <si>
    <t>ALTER TABLE cita RENAME COLUMN fecha TO fecha_programada;</t>
  </si>
  <si>
    <t>Define mejor el propósito de la fecha</t>
  </si>
  <si>
    <t>ALTER TABLE tratamiento RENAME COLUMN duracion TO dias_duracion;</t>
  </si>
  <si>
    <t>Expresa explícitamente la unidad en días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</si>
</sst>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.m"/>
  </numFmts>
  <fonts count="25">
    <font>
      <sz val="10.0"/>
      <color rgb="FF000000"/>
      <name val="Arial"/>
      <scheme val="minor"/>
    </font>
    <font>
      <b/>
      <sz val="24.0"/>
      <color rgb="FFFFFFFF"/>
      <name val="Calibri"/>
    </font>
    <font/>
    <font>
      <b/>
      <sz val="22.0"/>
      <color rgb="FF980000"/>
      <name val="Arial"/>
    </font>
    <font>
      <b/>
      <sz val="18.0"/>
      <color rgb="FFFFFFFF"/>
      <name val="Calibri"/>
    </font>
    <font>
      <b/>
      <sz val="15.0"/>
      <color theme="1"/>
      <name val="Calibri"/>
    </font>
    <font>
      <sz val="14.0"/>
      <color theme="1"/>
      <name val="Calibri"/>
    </font>
    <font>
      <b/>
      <sz val="13.0"/>
      <color theme="1"/>
      <name val="Calibri"/>
    </font>
    <font>
      <b/>
      <sz val="12.0"/>
      <color theme="1"/>
      <name val="Calibri"/>
    </font>
    <font>
      <b/>
      <sz val="14.0"/>
      <color theme="1"/>
      <name val="Calibri"/>
    </font>
    <font>
      <b/>
      <sz val="12.0"/>
      <color theme="1"/>
      <name val="Arial"/>
    </font>
    <font>
      <b/>
      <sz val="11.0"/>
      <color rgb="FFFFFFFF"/>
      <name val="Arial"/>
      <scheme val="minor"/>
    </font>
    <font>
      <b/>
      <color rgb="FFFFFFFF"/>
      <name val="Arial"/>
      <scheme val="minor"/>
    </font>
    <font>
      <b/>
      <sz val="12.0"/>
      <color theme="1"/>
      <name val="Arial"/>
      <scheme val="minor"/>
    </font>
    <font>
      <b/>
      <sz val="12.0"/>
      <color rgb="FF980000"/>
      <name val="Arial"/>
      <scheme val="minor"/>
    </font>
    <font>
      <b/>
      <sz val="14.0"/>
      <color theme="1"/>
      <name val="Arial"/>
      <scheme val="minor"/>
    </font>
    <font>
      <b/>
      <color theme="1"/>
      <name val="Arial"/>
      <scheme val="minor"/>
    </font>
    <font>
      <b/>
      <sz val="14.0"/>
      <color rgb="FFFFFFFF"/>
      <name val="Calibri"/>
    </font>
    <font>
      <b/>
      <sz val="16.0"/>
      <color rgb="FF000000"/>
      <name val="Calibri"/>
    </font>
    <font>
      <b/>
      <sz val="12.0"/>
      <color rgb="FF000000"/>
      <name val="Calibri"/>
    </font>
    <font>
      <b/>
      <sz val="14.0"/>
      <color theme="1"/>
      <name val="Arial"/>
    </font>
    <font>
      <color theme="1"/>
      <name val="Arial"/>
      <scheme val="minor"/>
    </font>
    <font>
      <b/>
      <sz val="12.0"/>
      <color rgb="FF0000FF"/>
      <name val="Calibri"/>
    </font>
    <font>
      <b/>
      <sz val="12.0"/>
      <color rgb="FF000000"/>
      <name val="Arial"/>
    </font>
    <font>
      <b/>
      <sz val="13.0"/>
      <color rgb="FFFFFFFF"/>
      <name val="Calibri"/>
    </font>
  </fonts>
  <fills count="11">
    <fill>
      <patternFill patternType="none"/>
    </fill>
    <fill>
      <patternFill patternType="lightGray"/>
    </fill>
    <fill>
      <patternFill patternType="solid">
        <fgColor theme="4"/>
        <bgColor theme="4"/>
      </patternFill>
    </fill>
    <fill>
      <patternFill patternType="solid">
        <fgColor rgb="FF4A86E8"/>
        <bgColor rgb="FF4A86E8"/>
      </patternFill>
    </fill>
    <fill>
      <patternFill patternType="solid">
        <fgColor rgb="FFFFFFFF"/>
        <bgColor rgb="FFFFFFFF"/>
      </patternFill>
    </fill>
    <fill>
      <patternFill patternType="solid">
        <fgColor rgb="FFD2EDEF"/>
        <bgColor rgb="FFD2EDEF"/>
      </patternFill>
    </fill>
    <fill>
      <patternFill patternType="solid">
        <fgColor rgb="FF134F5C"/>
        <bgColor rgb="FF134F5C"/>
      </patternFill>
    </fill>
    <fill>
      <patternFill patternType="solid">
        <fgColor rgb="FFC1F2F6"/>
        <bgColor rgb="FFC1F2F6"/>
      </patternFill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00FFFF"/>
        <bgColor rgb="FF00FFFF"/>
      </patternFill>
    </fill>
  </fills>
  <borders count="16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86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0" fontId="2" numFmtId="0" xfId="0" applyBorder="1" applyFont="1"/>
    <xf borderId="3" fillId="0" fontId="2" numFmtId="0" xfId="0" applyBorder="1" applyFont="1"/>
    <xf borderId="4" fillId="0" fontId="3" numFmtId="0" xfId="0" applyAlignment="1" applyBorder="1" applyFont="1">
      <alignment horizontal="center" readingOrder="0" vertical="center"/>
    </xf>
    <xf borderId="5" fillId="0" fontId="2" numFmtId="0" xfId="0" applyBorder="1" applyFont="1"/>
    <xf borderId="6" fillId="0" fontId="2" numFmtId="0" xfId="0" applyBorder="1" applyFont="1"/>
    <xf borderId="7" fillId="0" fontId="2" numFmtId="0" xfId="0" applyBorder="1" applyFont="1"/>
    <xf borderId="8" fillId="0" fontId="2" numFmtId="0" xfId="0" applyBorder="1" applyFont="1"/>
    <xf borderId="9" fillId="0" fontId="2" numFmtId="0" xfId="0" applyBorder="1" applyFont="1"/>
    <xf borderId="10" fillId="0" fontId="2" numFmtId="0" xfId="0" applyBorder="1" applyFont="1"/>
    <xf borderId="11" fillId="0" fontId="2" numFmtId="0" xfId="0" applyBorder="1" applyFont="1"/>
    <xf borderId="0" fillId="3" fontId="4" numFmtId="0" xfId="0" applyAlignment="1" applyFill="1" applyFont="1">
      <alignment horizontal="center" readingOrder="0" vertical="center"/>
    </xf>
    <xf borderId="0" fillId="4" fontId="5" numFmtId="0" xfId="0" applyAlignment="1" applyFill="1" applyFont="1">
      <alignment horizontal="center" vertical="center"/>
    </xf>
    <xf borderId="0" fillId="4" fontId="6" numFmtId="0" xfId="0" applyAlignment="1" applyFont="1">
      <alignment horizontal="left" readingOrder="0" vertical="center"/>
    </xf>
    <xf borderId="0" fillId="4" fontId="6" numFmtId="0" xfId="0" applyAlignment="1" applyFont="1">
      <alignment horizontal="left" readingOrder="0" shrinkToFit="0" vertical="center" wrapText="1"/>
    </xf>
    <xf borderId="12" fillId="5" fontId="7" numFmtId="0" xfId="0" applyAlignment="1" applyBorder="1" applyFill="1" applyFont="1">
      <alignment horizontal="center" readingOrder="0" vertical="center"/>
    </xf>
    <xf borderId="13" fillId="0" fontId="2" numFmtId="0" xfId="0" applyBorder="1" applyFont="1"/>
    <xf borderId="14" fillId="0" fontId="2" numFmtId="0" xfId="0" applyBorder="1" applyFont="1"/>
    <xf borderId="15" fillId="5" fontId="5" numFmtId="0" xfId="0" applyAlignment="1" applyBorder="1" applyFont="1">
      <alignment horizontal="center" readingOrder="0" vertical="center"/>
    </xf>
    <xf borderId="12" fillId="5" fontId="8" numFmtId="0" xfId="0" applyAlignment="1" applyBorder="1" applyFont="1">
      <alignment horizontal="center" readingOrder="0" vertical="center"/>
    </xf>
    <xf borderId="15" fillId="0" fontId="9" numFmtId="0" xfId="0" applyAlignment="1" applyBorder="1" applyFont="1">
      <alignment horizontal="center" vertical="center"/>
    </xf>
    <xf borderId="12" fillId="0" fontId="10" numFmtId="0" xfId="0" applyAlignment="1" applyBorder="1" applyFont="1">
      <alignment readingOrder="0" shrinkToFit="0" vertical="center" wrapText="1"/>
    </xf>
    <xf borderId="15" fillId="0" fontId="9" numFmtId="0" xfId="0" applyAlignment="1" applyBorder="1" applyFont="1">
      <alignment horizontal="center" readingOrder="0" vertical="center"/>
    </xf>
    <xf borderId="0" fillId="6" fontId="11" numFmtId="0" xfId="0" applyAlignment="1" applyFill="1" applyFont="1">
      <alignment horizontal="center" readingOrder="0" vertical="center"/>
    </xf>
    <xf borderId="15" fillId="6" fontId="12" numFmtId="0" xfId="0" applyAlignment="1" applyBorder="1" applyFont="1">
      <alignment horizontal="center" readingOrder="0" vertical="center"/>
    </xf>
    <xf borderId="15" fillId="0" fontId="13" numFmtId="0" xfId="0" applyAlignment="1" applyBorder="1" applyFont="1">
      <alignment horizontal="center" readingOrder="0" vertical="center"/>
    </xf>
    <xf borderId="12" fillId="0" fontId="14" numFmtId="0" xfId="0" applyAlignment="1" applyBorder="1" applyFont="1">
      <alignment readingOrder="0" vertical="center"/>
    </xf>
    <xf borderId="15" fillId="0" fontId="15" numFmtId="0" xfId="0" applyAlignment="1" applyBorder="1" applyFont="1">
      <alignment horizontal="center" readingOrder="0" vertical="center"/>
    </xf>
    <xf borderId="0" fillId="0" fontId="16" numFmtId="0" xfId="0" applyAlignment="1" applyFont="1">
      <alignment horizontal="center" readingOrder="0"/>
    </xf>
    <xf borderId="0" fillId="3" fontId="17" numFmtId="0" xfId="0" applyAlignment="1" applyFont="1">
      <alignment horizontal="center" readingOrder="0" vertical="center"/>
    </xf>
    <xf borderId="15" fillId="7" fontId="18" numFmtId="0" xfId="0" applyAlignment="1" applyBorder="1" applyFill="1" applyFont="1">
      <alignment horizontal="center" shrinkToFit="0" vertical="center" wrapText="1"/>
    </xf>
    <xf borderId="12" fillId="7" fontId="19" numFmtId="0" xfId="0" applyAlignment="1" applyBorder="1" applyFont="1">
      <alignment horizontal="center" readingOrder="0" shrinkToFit="0" vertical="center" wrapText="1"/>
    </xf>
    <xf borderId="12" fillId="7" fontId="19" numFmtId="0" xfId="0" applyAlignment="1" applyBorder="1" applyFont="1">
      <alignment horizontal="center" shrinkToFit="0" vertical="center" wrapText="1"/>
    </xf>
    <xf borderId="15" fillId="0" fontId="20" numFmtId="0" xfId="0" applyAlignment="1" applyBorder="1" applyFont="1">
      <alignment horizontal="center" shrinkToFit="0" vertical="center" wrapText="1"/>
    </xf>
    <xf borderId="12" fillId="0" fontId="20" numFmtId="0" xfId="0" applyAlignment="1" applyBorder="1" applyFont="1">
      <alignment horizontal="left" readingOrder="0" shrinkToFit="0" vertical="center" wrapText="1"/>
    </xf>
    <xf borderId="0" fillId="3" fontId="17" numFmtId="0" xfId="0" applyAlignment="1" applyFont="1">
      <alignment horizontal="center" vertical="center"/>
    </xf>
    <xf borderId="0" fillId="0" fontId="21" numFmtId="0" xfId="0" applyAlignment="1" applyFont="1">
      <alignment vertical="center"/>
    </xf>
    <xf borderId="15" fillId="8" fontId="22" numFmtId="0" xfId="0" applyAlignment="1" applyBorder="1" applyFill="1" applyFont="1">
      <alignment horizontal="center" readingOrder="0" shrinkToFit="0" vertical="center" wrapText="1"/>
    </xf>
    <xf borderId="12" fillId="9" fontId="19" numFmtId="0" xfId="0" applyAlignment="1" applyBorder="1" applyFill="1" applyFont="1">
      <alignment horizontal="center" shrinkToFit="0" vertical="center" wrapText="1"/>
    </xf>
    <xf borderId="12" fillId="0" fontId="20" numFmtId="0" xfId="0" applyAlignment="1" applyBorder="1" applyFont="1">
      <alignment horizontal="center" readingOrder="0" shrinkToFit="0" vertical="center" wrapText="1"/>
    </xf>
    <xf borderId="12" fillId="9" fontId="19" numFmtId="0" xfId="0" applyAlignment="1" applyBorder="1" applyFont="1">
      <alignment horizontal="center" readingOrder="0" shrinkToFit="0" vertical="center" wrapText="1"/>
    </xf>
    <xf borderId="15" fillId="9" fontId="19" numFmtId="0" xfId="0" applyAlignment="1" applyBorder="1" applyFont="1">
      <alignment horizontal="center" shrinkToFit="0" vertical="center" wrapText="1"/>
    </xf>
    <xf borderId="15" fillId="4" fontId="23" numFmtId="0" xfId="0" applyAlignment="1" applyBorder="1" applyFont="1">
      <alignment horizontal="left" readingOrder="0" shrinkToFit="0" vertical="center" wrapText="1"/>
    </xf>
    <xf borderId="14" fillId="9" fontId="19" numFmtId="0" xfId="0" applyAlignment="1" applyBorder="1" applyFont="1">
      <alignment horizontal="center" readingOrder="0" shrinkToFit="0" vertical="center" wrapText="1"/>
    </xf>
    <xf borderId="15" fillId="0" fontId="19" numFmtId="0" xfId="0" applyAlignment="1" applyBorder="1" applyFont="1">
      <alignment horizontal="center" shrinkToFit="0" vertical="center" wrapText="1"/>
    </xf>
    <xf borderId="15" fillId="4" fontId="10" numFmtId="0" xfId="0" applyAlignment="1" applyBorder="1" applyFont="1">
      <alignment horizontal="left" readingOrder="0" shrinkToFit="0" vertical="center" wrapText="1"/>
    </xf>
    <xf borderId="12" fillId="4" fontId="10" numFmtId="0" xfId="0" applyAlignment="1" applyBorder="1" applyFont="1">
      <alignment horizontal="left" readingOrder="0" shrinkToFit="0" vertical="center" wrapText="1"/>
    </xf>
    <xf borderId="12" fillId="4" fontId="20" numFmtId="0" xfId="0" applyAlignment="1" applyBorder="1" applyFont="1">
      <alignment horizontal="center" vertical="center"/>
    </xf>
    <xf borderId="12" fillId="4" fontId="20" numFmtId="0" xfId="0" applyAlignment="1" applyBorder="1" applyFont="1">
      <alignment horizontal="center" readingOrder="0" shrinkToFit="0" vertical="center" wrapText="1"/>
    </xf>
    <xf borderId="12" fillId="4" fontId="20" numFmtId="0" xfId="0" applyAlignment="1" applyBorder="1" applyFont="1">
      <alignment horizontal="center" shrinkToFit="0" vertical="center" wrapText="1"/>
    </xf>
    <xf borderId="15" fillId="4" fontId="20" numFmtId="0" xfId="0" applyAlignment="1" applyBorder="1" applyFont="1">
      <alignment horizontal="center" shrinkToFit="0" vertical="center" wrapText="1"/>
    </xf>
    <xf borderId="15" fillId="4" fontId="20" numFmtId="0" xfId="0" applyAlignment="1" applyBorder="1" applyFont="1">
      <alignment horizontal="left" readingOrder="0" shrinkToFit="0" vertical="center" wrapText="1"/>
    </xf>
    <xf borderId="15" fillId="8" fontId="22" numFmtId="1" xfId="0" applyAlignment="1" applyBorder="1" applyFont="1" applyNumberFormat="1">
      <alignment horizontal="center" readingOrder="0" shrinkToFit="0" vertical="center" wrapText="1"/>
    </xf>
    <xf borderId="12" fillId="9" fontId="19" numFmtId="1" xfId="0" applyAlignment="1" applyBorder="1" applyFont="1" applyNumberFormat="1">
      <alignment horizontal="center" shrinkToFit="0" vertical="center" wrapText="1"/>
    </xf>
    <xf borderId="12" fillId="9" fontId="19" numFmtId="1" xfId="0" applyAlignment="1" applyBorder="1" applyFont="1" applyNumberFormat="1">
      <alignment horizontal="center" readingOrder="0" shrinkToFit="0" vertical="center" wrapText="1"/>
    </xf>
    <xf borderId="15" fillId="9" fontId="19" numFmtId="1" xfId="0" applyAlignment="1" applyBorder="1" applyFont="1" applyNumberFormat="1">
      <alignment horizontal="center" shrinkToFit="0" vertical="center" wrapText="1"/>
    </xf>
    <xf borderId="14" fillId="9" fontId="19" numFmtId="1" xfId="0" applyAlignment="1" applyBorder="1" applyFont="1" applyNumberFormat="1">
      <alignment horizontal="center" readingOrder="0" shrinkToFit="0" vertical="center" wrapText="1"/>
    </xf>
    <xf borderId="15" fillId="0" fontId="19" numFmtId="1" xfId="0" applyAlignment="1" applyBorder="1" applyFont="1" applyNumberFormat="1">
      <alignment horizontal="center" shrinkToFit="0" vertical="center" wrapText="1"/>
    </xf>
    <xf borderId="12" fillId="0" fontId="20" numFmtId="1" xfId="0" applyAlignment="1" applyBorder="1" applyFont="1" applyNumberFormat="1">
      <alignment horizontal="center" shrinkToFit="0" vertical="center" wrapText="1"/>
    </xf>
    <xf borderId="12" fillId="4" fontId="20" numFmtId="1" xfId="0" applyAlignment="1" applyBorder="1" applyFont="1" applyNumberFormat="1">
      <alignment horizontal="center" vertical="center"/>
    </xf>
    <xf borderId="12" fillId="4" fontId="20" numFmtId="1" xfId="0" applyAlignment="1" applyBorder="1" applyFont="1" applyNumberFormat="1">
      <alignment vertical="center"/>
    </xf>
    <xf borderId="15" fillId="4" fontId="20" numFmtId="1" xfId="0" applyAlignment="1" applyBorder="1" applyFont="1" applyNumberFormat="1">
      <alignment horizontal="center" shrinkToFit="0" vertical="center" wrapText="1"/>
    </xf>
    <xf borderId="15" fillId="4" fontId="20" numFmtId="1" xfId="0" applyAlignment="1" applyBorder="1" applyFont="1" applyNumberFormat="1">
      <alignment horizontal="left" readingOrder="0" shrinkToFit="0" vertical="center" wrapText="1"/>
    </xf>
    <xf borderId="15" fillId="4" fontId="20" numFmtId="1" xfId="0" applyAlignment="1" applyBorder="1" applyFont="1" applyNumberFormat="1">
      <alignment horizontal="center" readingOrder="0" shrinkToFit="0" vertical="center" wrapText="1"/>
    </xf>
    <xf borderId="12" fillId="4" fontId="20" numFmtId="0" xfId="0" applyAlignment="1" applyBorder="1" applyFont="1">
      <alignment vertical="center"/>
    </xf>
    <xf borderId="12" fillId="4" fontId="20" numFmtId="1" xfId="0" applyAlignment="1" applyBorder="1" applyFont="1" applyNumberFormat="1">
      <alignment horizontal="center" shrinkToFit="0" vertical="center" wrapText="1"/>
    </xf>
    <xf borderId="12" fillId="4" fontId="20" numFmtId="1" xfId="0" applyAlignment="1" applyBorder="1" applyFont="1" applyNumberFormat="1">
      <alignment horizontal="center" readingOrder="0" shrinkToFit="0" vertical="center" wrapText="1"/>
    </xf>
    <xf borderId="15" fillId="4" fontId="20" numFmtId="0" xfId="0" applyAlignment="1" applyBorder="1" applyFont="1">
      <alignment horizontal="center" readingOrder="0" shrinkToFit="0" vertical="center" wrapText="1"/>
    </xf>
    <xf borderId="15" fillId="0" fontId="19" numFmtId="0" xfId="0" applyAlignment="1" applyBorder="1" applyFont="1">
      <alignment horizontal="center" readingOrder="0" shrinkToFit="0" vertical="center" wrapText="1"/>
    </xf>
    <xf borderId="12" fillId="0" fontId="20" numFmtId="1" xfId="0" applyAlignment="1" applyBorder="1" applyFont="1" applyNumberFormat="1">
      <alignment horizontal="center" readingOrder="0" shrinkToFit="0" vertical="center" wrapText="1"/>
    </xf>
    <xf borderId="12" fillId="4" fontId="20" numFmtId="1" xfId="0" applyAlignment="1" applyBorder="1" applyFont="1" applyNumberFormat="1">
      <alignment horizontal="center" readingOrder="0" vertical="center"/>
    </xf>
    <xf borderId="15" fillId="4" fontId="23" numFmtId="0" xfId="0" applyAlignment="1" applyBorder="1" applyFont="1">
      <alignment horizontal="center" readingOrder="0" shrinkToFit="0" vertical="center" wrapText="1"/>
    </xf>
    <xf borderId="0" fillId="0" fontId="21" numFmtId="0" xfId="0" applyAlignment="1" applyFont="1">
      <alignment horizontal="center"/>
    </xf>
    <xf borderId="0" fillId="3" fontId="24" numFmtId="0" xfId="0" applyAlignment="1" applyFont="1">
      <alignment horizontal="center" vertical="center"/>
    </xf>
    <xf borderId="0" fillId="3" fontId="24" numFmtId="0" xfId="0" applyAlignment="1" applyFont="1">
      <alignment horizontal="center" readingOrder="0" vertical="center"/>
    </xf>
    <xf borderId="0" fillId="4" fontId="24" numFmtId="0" xfId="0" applyAlignment="1" applyFont="1">
      <alignment horizontal="left" vertical="center"/>
    </xf>
    <xf borderId="0" fillId="4" fontId="19" numFmtId="164" xfId="0" applyAlignment="1" applyFont="1" applyNumberFormat="1">
      <alignment horizontal="center" readingOrder="0" shrinkToFit="0" vertical="center" wrapText="1"/>
    </xf>
    <xf borderId="15" fillId="10" fontId="19" numFmtId="0" xfId="0" applyAlignment="1" applyBorder="1" applyFill="1" applyFont="1">
      <alignment horizontal="center" readingOrder="0" shrinkToFit="0" vertical="center" wrapText="1"/>
    </xf>
    <xf borderId="0" fillId="4" fontId="19" numFmtId="0" xfId="0" applyAlignment="1" applyFont="1">
      <alignment horizontal="center" readingOrder="0" shrinkToFit="0" vertical="center" wrapText="1"/>
    </xf>
    <xf borderId="0" fillId="4" fontId="18" numFmtId="0" xfId="0" applyAlignment="1" applyFont="1">
      <alignment horizontal="center" shrinkToFit="0" vertical="center" wrapText="1"/>
    </xf>
    <xf borderId="15" fillId="7" fontId="19" numFmtId="0" xfId="0" applyAlignment="1" applyBorder="1" applyFont="1">
      <alignment horizontal="center" readingOrder="0" shrinkToFit="0" vertical="center" wrapText="1"/>
    </xf>
    <xf borderId="14" fillId="7" fontId="19" numFmtId="0" xfId="0" applyAlignment="1" applyBorder="1" applyFont="1">
      <alignment horizontal="center" readingOrder="0" shrinkToFit="0" vertical="center" wrapText="1"/>
    </xf>
    <xf borderId="15" fillId="0" fontId="10" numFmtId="0" xfId="0" applyAlignment="1" applyBorder="1" applyFont="1">
      <alignment horizontal="center" readingOrder="0" shrinkToFit="0" vertical="center" wrapText="1"/>
    </xf>
    <xf borderId="15" fillId="0" fontId="10" numFmtId="0" xfId="0" applyAlignment="1" applyBorder="1" applyFont="1">
      <alignment horizontal="left" readingOrder="0" shrinkToFit="0" vertical="center" wrapText="1"/>
    </xf>
    <xf borderId="12" fillId="0" fontId="10" numFmtId="0" xfId="0" applyAlignment="1" applyBorder="1" applyFont="1">
      <alignment horizontal="left"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0</xdr:colOff>
      <xdr:row>0</xdr:row>
      <xdr:rowOff>400050</xdr:rowOff>
    </xdr:from>
    <xdr:ext cx="18249900" cy="978217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6" width="12.63"/>
  </cols>
  <sheetData>
    <row r="1" ht="32.25" customHeight="1">
      <c r="A1" s="1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3"/>
    </row>
    <row r="2" ht="15.75" customHeight="1">
      <c r="A2" s="4"/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6"/>
    </row>
    <row r="3" ht="15.75" customHeight="1">
      <c r="A3" s="7"/>
      <c r="S3" s="8"/>
    </row>
    <row r="4" ht="15.75" customHeight="1">
      <c r="A4" s="7"/>
      <c r="S4" s="8"/>
    </row>
    <row r="5" ht="15.75" customHeight="1">
      <c r="A5" s="7"/>
      <c r="S5" s="8"/>
    </row>
    <row r="6" ht="15.75" customHeight="1">
      <c r="A6" s="7"/>
      <c r="S6" s="8"/>
    </row>
    <row r="7" ht="15.75" customHeight="1">
      <c r="A7" s="7"/>
      <c r="S7" s="8"/>
    </row>
    <row r="8" ht="15.75" customHeight="1">
      <c r="A8" s="7"/>
      <c r="S8" s="8"/>
    </row>
    <row r="9" ht="15.75" customHeight="1">
      <c r="A9" s="7"/>
      <c r="S9" s="8"/>
    </row>
    <row r="10" ht="15.75" customHeight="1">
      <c r="A10" s="7"/>
      <c r="S10" s="8"/>
    </row>
    <row r="11" ht="15.75" customHeight="1">
      <c r="A11" s="7"/>
      <c r="S11" s="8"/>
    </row>
    <row r="12" ht="15.75" customHeight="1">
      <c r="A12" s="7"/>
      <c r="S12" s="8"/>
    </row>
    <row r="13" ht="15.75" customHeight="1">
      <c r="A13" s="7"/>
      <c r="S13" s="8"/>
    </row>
    <row r="14" ht="15.75" customHeight="1">
      <c r="A14" s="7"/>
      <c r="S14" s="8"/>
    </row>
    <row r="15" ht="15.75" customHeight="1">
      <c r="A15" s="7"/>
      <c r="S15" s="8"/>
    </row>
    <row r="16" ht="15.75" customHeight="1">
      <c r="A16" s="7"/>
      <c r="S16" s="8"/>
    </row>
    <row r="17" ht="15.75" customHeight="1">
      <c r="A17" s="7"/>
      <c r="S17" s="8"/>
    </row>
    <row r="18" ht="15.75" customHeight="1">
      <c r="A18" s="7"/>
      <c r="S18" s="8"/>
    </row>
    <row r="19" ht="15.75" customHeight="1">
      <c r="A19" s="7"/>
      <c r="S19" s="8"/>
    </row>
    <row r="20" ht="15.75" customHeight="1">
      <c r="A20" s="7"/>
      <c r="S20" s="8"/>
    </row>
    <row r="21" ht="15.75" customHeight="1">
      <c r="A21" s="7"/>
      <c r="S21" s="8"/>
    </row>
    <row r="22" ht="15.75" customHeight="1">
      <c r="A22" s="7"/>
      <c r="S22" s="8"/>
    </row>
    <row r="23" ht="15.75" customHeight="1">
      <c r="A23" s="7"/>
      <c r="S23" s="8"/>
    </row>
    <row r="24" ht="15.75" customHeight="1">
      <c r="A24" s="7"/>
      <c r="S24" s="8"/>
    </row>
    <row r="25" ht="15.75" customHeight="1">
      <c r="A25" s="7"/>
      <c r="S25" s="8"/>
    </row>
    <row r="26" ht="15.75" customHeight="1">
      <c r="A26" s="7"/>
      <c r="S26" s="8"/>
    </row>
    <row r="27" ht="15.75" customHeight="1">
      <c r="A27" s="7"/>
      <c r="S27" s="8"/>
    </row>
    <row r="28" ht="15.75" customHeight="1">
      <c r="A28" s="7"/>
      <c r="S28" s="8"/>
    </row>
    <row r="29" ht="15.75" customHeight="1">
      <c r="A29" s="7"/>
      <c r="S29" s="8"/>
    </row>
    <row r="30" ht="15.75" customHeight="1">
      <c r="A30" s="7"/>
      <c r="S30" s="8"/>
    </row>
    <row r="31" ht="15.75" customHeight="1">
      <c r="A31" s="7"/>
      <c r="S31" s="8"/>
    </row>
    <row r="32" ht="15.75" customHeight="1">
      <c r="A32" s="7"/>
      <c r="S32" s="8"/>
    </row>
    <row r="33" ht="15.75" customHeight="1">
      <c r="A33" s="7"/>
      <c r="S33" s="8"/>
    </row>
    <row r="34" ht="15.75" customHeight="1">
      <c r="A34" s="7"/>
      <c r="S34" s="8"/>
    </row>
    <row r="35" ht="15.75" customHeight="1">
      <c r="A35" s="7"/>
      <c r="S35" s="8"/>
    </row>
    <row r="36" ht="15.75" customHeight="1">
      <c r="A36" s="7"/>
      <c r="S36" s="8"/>
    </row>
    <row r="37" ht="15.75" customHeight="1">
      <c r="A37" s="7"/>
      <c r="S37" s="8"/>
    </row>
    <row r="38" ht="15.75" customHeight="1">
      <c r="A38" s="7"/>
      <c r="S38" s="8"/>
    </row>
    <row r="39" ht="15.75" customHeight="1">
      <c r="A39" s="7"/>
      <c r="S39" s="8"/>
    </row>
    <row r="40" ht="15.75" customHeight="1">
      <c r="A40" s="7"/>
      <c r="S40" s="8"/>
    </row>
    <row r="41" ht="15.75" customHeight="1">
      <c r="A41" s="7"/>
      <c r="S41" s="8"/>
    </row>
    <row r="42" ht="15.75" customHeight="1">
      <c r="A42" s="7"/>
      <c r="S42" s="8"/>
    </row>
    <row r="43" ht="15.75" customHeight="1">
      <c r="A43" s="7"/>
      <c r="S43" s="8"/>
    </row>
    <row r="44" ht="15.75" customHeight="1">
      <c r="A44" s="7"/>
      <c r="S44" s="8"/>
    </row>
    <row r="45" ht="15.75" customHeight="1">
      <c r="A45" s="7"/>
      <c r="S45" s="8"/>
    </row>
    <row r="46" ht="15.75" customHeight="1">
      <c r="A46" s="7"/>
      <c r="S46" s="8"/>
    </row>
    <row r="47" ht="15.75" customHeight="1">
      <c r="A47" s="7"/>
      <c r="S47" s="8"/>
    </row>
    <row r="48" ht="15.75" customHeight="1">
      <c r="A48" s="7"/>
      <c r="S48" s="8"/>
    </row>
    <row r="49" ht="15.75" customHeight="1">
      <c r="A49" s="7"/>
      <c r="S49" s="8"/>
    </row>
    <row r="50" ht="15.75" customHeight="1">
      <c r="A50" s="9"/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1"/>
    </row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2">
    <mergeCell ref="A1:S1"/>
    <mergeCell ref="A2:S50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0"/>
    <col customWidth="1" min="2" max="2" width="27.0"/>
    <col customWidth="1" min="3" max="6" width="12.63"/>
    <col customWidth="1" min="11" max="11" width="31.63"/>
  </cols>
  <sheetData>
    <row r="1" ht="15.75" customHeight="1">
      <c r="A1" s="12" t="s">
        <v>1</v>
      </c>
    </row>
    <row r="2" ht="15.75" customHeight="1">
      <c r="A2" s="13"/>
      <c r="B2" s="14"/>
      <c r="C2" s="13"/>
      <c r="D2" s="13"/>
      <c r="E2" s="13"/>
      <c r="F2" s="13"/>
      <c r="G2" s="13"/>
      <c r="H2" s="13"/>
      <c r="I2" s="13"/>
      <c r="J2" s="13"/>
      <c r="K2" s="13"/>
    </row>
    <row r="3" ht="15.75" customHeight="1">
      <c r="A3" s="15" t="s">
        <v>2</v>
      </c>
    </row>
    <row r="4" ht="15.75" customHeight="1">
      <c r="A4" s="13"/>
      <c r="B4" s="14"/>
      <c r="C4" s="13"/>
      <c r="D4" s="13"/>
      <c r="E4" s="13"/>
      <c r="F4" s="13"/>
      <c r="G4" s="13"/>
      <c r="H4" s="13"/>
      <c r="I4" s="13"/>
      <c r="J4" s="13"/>
      <c r="K4" s="13"/>
    </row>
    <row r="5" ht="15.75" customHeight="1">
      <c r="A5" s="16" t="s">
        <v>3</v>
      </c>
      <c r="B5" s="17"/>
      <c r="C5" s="17"/>
      <c r="D5" s="17"/>
      <c r="E5" s="17"/>
      <c r="F5" s="17"/>
      <c r="G5" s="17"/>
      <c r="H5" s="17"/>
      <c r="I5" s="17"/>
      <c r="J5" s="17"/>
      <c r="K5" s="18"/>
    </row>
    <row r="6" ht="15.75" customHeight="1">
      <c r="A6" s="19" t="s">
        <v>4</v>
      </c>
      <c r="B6" s="20" t="s">
        <v>5</v>
      </c>
      <c r="C6" s="17"/>
      <c r="D6" s="17"/>
      <c r="E6" s="17"/>
      <c r="F6" s="17"/>
      <c r="G6" s="20" t="s">
        <v>6</v>
      </c>
      <c r="H6" s="17"/>
      <c r="I6" s="17"/>
      <c r="J6" s="17"/>
      <c r="K6" s="18"/>
    </row>
    <row r="7" ht="37.5" customHeight="1">
      <c r="A7" s="21">
        <v>1.0</v>
      </c>
      <c r="B7" s="22" t="s">
        <v>7</v>
      </c>
      <c r="C7" s="17"/>
      <c r="D7" s="17"/>
      <c r="E7" s="17"/>
      <c r="F7" s="18"/>
      <c r="G7" s="22" t="s">
        <v>8</v>
      </c>
      <c r="H7" s="17"/>
      <c r="I7" s="17"/>
      <c r="J7" s="17"/>
      <c r="K7" s="18"/>
    </row>
    <row r="8" ht="37.5" customHeight="1">
      <c r="A8" s="23">
        <v>2.0</v>
      </c>
      <c r="B8" s="22" t="s">
        <v>9</v>
      </c>
      <c r="C8" s="17"/>
      <c r="D8" s="17"/>
      <c r="E8" s="17"/>
      <c r="F8" s="18"/>
      <c r="G8" s="22" t="s">
        <v>10</v>
      </c>
      <c r="H8" s="17"/>
      <c r="I8" s="17"/>
      <c r="J8" s="17"/>
      <c r="K8" s="18"/>
    </row>
    <row r="9" ht="37.5" customHeight="1">
      <c r="A9" s="23">
        <v>3.0</v>
      </c>
      <c r="B9" s="22" t="s">
        <v>11</v>
      </c>
      <c r="C9" s="17"/>
      <c r="D9" s="17"/>
      <c r="E9" s="17"/>
      <c r="F9" s="18"/>
      <c r="G9" s="22" t="s">
        <v>12</v>
      </c>
      <c r="H9" s="17"/>
      <c r="I9" s="17"/>
      <c r="J9" s="17"/>
      <c r="K9" s="18"/>
    </row>
    <row r="10" ht="37.5" customHeight="1">
      <c r="A10" s="23">
        <v>4.0</v>
      </c>
      <c r="B10" s="22" t="s">
        <v>13</v>
      </c>
      <c r="C10" s="17"/>
      <c r="D10" s="17"/>
      <c r="E10" s="17"/>
      <c r="F10" s="18"/>
      <c r="G10" s="22" t="s">
        <v>14</v>
      </c>
      <c r="H10" s="17"/>
      <c r="I10" s="17"/>
      <c r="J10" s="17"/>
      <c r="K10" s="18"/>
    </row>
    <row r="11" ht="37.5" customHeight="1">
      <c r="A11" s="23">
        <v>5.0</v>
      </c>
      <c r="B11" s="22" t="s">
        <v>15</v>
      </c>
      <c r="C11" s="17"/>
      <c r="D11" s="17"/>
      <c r="E11" s="17"/>
      <c r="F11" s="18"/>
      <c r="G11" s="22" t="s">
        <v>16</v>
      </c>
      <c r="H11" s="17"/>
      <c r="I11" s="17"/>
      <c r="J11" s="17"/>
      <c r="K11" s="18"/>
    </row>
    <row r="12" ht="37.5" customHeight="1">
      <c r="A12" s="23">
        <v>6.0</v>
      </c>
      <c r="B12" s="22" t="s">
        <v>17</v>
      </c>
      <c r="C12" s="17"/>
      <c r="D12" s="17"/>
      <c r="E12" s="17"/>
      <c r="F12" s="18"/>
      <c r="G12" s="22" t="s">
        <v>18</v>
      </c>
      <c r="H12" s="17"/>
      <c r="I12" s="17"/>
      <c r="J12" s="17"/>
      <c r="K12" s="18"/>
    </row>
    <row r="13" ht="37.5" customHeight="1">
      <c r="A13" s="23">
        <v>7.0</v>
      </c>
      <c r="B13" s="22" t="s">
        <v>19</v>
      </c>
      <c r="C13" s="17"/>
      <c r="D13" s="17"/>
      <c r="E13" s="17"/>
      <c r="F13" s="18"/>
      <c r="G13" s="22" t="s">
        <v>20</v>
      </c>
      <c r="H13" s="17"/>
      <c r="I13" s="17"/>
      <c r="J13" s="17"/>
      <c r="K13" s="18"/>
    </row>
    <row r="14" ht="37.5" customHeight="1">
      <c r="A14" s="23">
        <v>8.0</v>
      </c>
      <c r="B14" s="22" t="s">
        <v>21</v>
      </c>
      <c r="C14" s="17"/>
      <c r="D14" s="17"/>
      <c r="E14" s="17"/>
      <c r="F14" s="18"/>
      <c r="G14" s="22" t="s">
        <v>22</v>
      </c>
      <c r="H14" s="17"/>
      <c r="I14" s="17"/>
      <c r="J14" s="17"/>
      <c r="K14" s="18"/>
    </row>
    <row r="15" ht="37.5" customHeight="1">
      <c r="A15" s="23">
        <v>9.0</v>
      </c>
      <c r="B15" s="22" t="s">
        <v>23</v>
      </c>
      <c r="C15" s="17"/>
      <c r="D15" s="17"/>
      <c r="E15" s="17"/>
      <c r="F15" s="18"/>
      <c r="G15" s="22" t="s">
        <v>24</v>
      </c>
      <c r="H15" s="17"/>
      <c r="I15" s="17"/>
      <c r="J15" s="17"/>
      <c r="K15" s="18"/>
    </row>
    <row r="16" ht="37.5" customHeight="1">
      <c r="A16" s="23">
        <v>10.0</v>
      </c>
      <c r="B16" s="22" t="s">
        <v>25</v>
      </c>
      <c r="C16" s="17"/>
      <c r="D16" s="17"/>
      <c r="E16" s="17"/>
      <c r="F16" s="18"/>
      <c r="G16" s="22" t="s">
        <v>26</v>
      </c>
      <c r="H16" s="17"/>
      <c r="I16" s="17"/>
      <c r="J16" s="17"/>
      <c r="K16" s="18"/>
    </row>
    <row r="17" ht="15.75" customHeight="1"/>
    <row r="18" ht="45.0" customHeight="1">
      <c r="A18" s="22" t="s">
        <v>27</v>
      </c>
      <c r="B18" s="17"/>
      <c r="C18" s="17"/>
      <c r="D18" s="17"/>
      <c r="E18" s="17"/>
      <c r="F18" s="17"/>
      <c r="G18" s="17"/>
      <c r="H18" s="17"/>
      <c r="I18" s="17"/>
      <c r="J18" s="17"/>
      <c r="K18" s="18"/>
    </row>
    <row r="19" ht="15.75" customHeight="1"/>
    <row r="20" ht="21.0" customHeight="1">
      <c r="A20" s="24" t="s">
        <v>28</v>
      </c>
    </row>
    <row r="21" ht="24.0" customHeight="1">
      <c r="A21" s="25" t="s">
        <v>4</v>
      </c>
      <c r="B21" s="25" t="s">
        <v>29</v>
      </c>
      <c r="C21" s="25" t="s">
        <v>30</v>
      </c>
      <c r="E21" s="26">
        <v>1.0</v>
      </c>
      <c r="F21" s="27" t="s">
        <v>31</v>
      </c>
      <c r="G21" s="17"/>
      <c r="H21" s="17"/>
      <c r="I21" s="17"/>
      <c r="J21" s="17"/>
      <c r="K21" s="18"/>
    </row>
    <row r="22" ht="20.25" customHeight="1">
      <c r="A22" s="28">
        <v>1.0</v>
      </c>
      <c r="B22" s="28" t="s">
        <v>32</v>
      </c>
      <c r="C22" s="28" t="s">
        <v>33</v>
      </c>
      <c r="E22" s="26">
        <v>2.0</v>
      </c>
      <c r="F22" s="27" t="s">
        <v>34</v>
      </c>
      <c r="G22" s="17"/>
      <c r="H22" s="17"/>
      <c r="I22" s="17"/>
      <c r="J22" s="17"/>
      <c r="K22" s="18"/>
    </row>
    <row r="23" ht="20.25" customHeight="1">
      <c r="A23" s="28">
        <v>2.0</v>
      </c>
      <c r="B23" s="28" t="s">
        <v>35</v>
      </c>
      <c r="C23" s="28" t="s">
        <v>33</v>
      </c>
      <c r="E23" s="26">
        <v>3.0</v>
      </c>
      <c r="F23" s="27" t="s">
        <v>36</v>
      </c>
      <c r="G23" s="17"/>
      <c r="H23" s="17"/>
      <c r="I23" s="17"/>
      <c r="J23" s="17"/>
      <c r="K23" s="18"/>
    </row>
    <row r="24" ht="20.25" customHeight="1">
      <c r="A24" s="28">
        <v>3.0</v>
      </c>
      <c r="B24" s="28" t="s">
        <v>37</v>
      </c>
      <c r="C24" s="28" t="s">
        <v>33</v>
      </c>
    </row>
    <row r="25" ht="20.25" customHeight="1">
      <c r="A25" s="28">
        <v>4.0</v>
      </c>
      <c r="B25" s="28" t="s">
        <v>38</v>
      </c>
      <c r="C25" s="28" t="s">
        <v>33</v>
      </c>
    </row>
    <row r="26" ht="20.25" customHeight="1">
      <c r="A26" s="28">
        <v>5.0</v>
      </c>
      <c r="B26" s="28" t="s">
        <v>39</v>
      </c>
      <c r="C26" s="28" t="s">
        <v>33</v>
      </c>
    </row>
    <row r="27" ht="20.25" customHeight="1">
      <c r="A27" s="28">
        <v>6.0</v>
      </c>
      <c r="B27" s="28" t="s">
        <v>40</v>
      </c>
      <c r="C27" s="28" t="s">
        <v>33</v>
      </c>
      <c r="E27" s="29"/>
      <c r="F27" s="29"/>
      <c r="G27" s="29"/>
    </row>
    <row r="28" ht="20.25" customHeight="1">
      <c r="A28" s="28">
        <v>7.0</v>
      </c>
      <c r="B28" s="28" t="s">
        <v>41</v>
      </c>
      <c r="C28" s="28" t="s">
        <v>33</v>
      </c>
    </row>
    <row r="29" ht="20.25" customHeight="1">
      <c r="A29" s="28">
        <v>8.0</v>
      </c>
      <c r="B29" s="28" t="s">
        <v>42</v>
      </c>
      <c r="C29" s="28" t="s">
        <v>33</v>
      </c>
    </row>
    <row r="30" ht="20.25" customHeight="1">
      <c r="A30" s="28">
        <v>9.0</v>
      </c>
      <c r="B30" s="28" t="s">
        <v>43</v>
      </c>
      <c r="C30" s="28" t="s">
        <v>33</v>
      </c>
    </row>
    <row r="31" ht="20.25" customHeight="1">
      <c r="A31" s="28">
        <v>10.0</v>
      </c>
      <c r="B31" s="28" t="s">
        <v>44</v>
      </c>
      <c r="C31" s="28" t="s">
        <v>33</v>
      </c>
    </row>
    <row r="32" ht="20.25" customHeight="1">
      <c r="A32" s="28">
        <v>11.0</v>
      </c>
      <c r="B32" s="28" t="s">
        <v>45</v>
      </c>
      <c r="C32" s="28" t="s">
        <v>33</v>
      </c>
      <c r="H32" s="29"/>
      <c r="I32" s="29"/>
    </row>
    <row r="33" ht="20.25" customHeight="1">
      <c r="A33" s="28">
        <v>12.0</v>
      </c>
      <c r="B33" s="28" t="s">
        <v>46</v>
      </c>
      <c r="C33" s="28" t="s">
        <v>33</v>
      </c>
    </row>
    <row r="34" ht="20.25" customHeight="1">
      <c r="A34" s="28">
        <v>13.0</v>
      </c>
      <c r="B34" s="28" t="s">
        <v>47</v>
      </c>
      <c r="C34" s="28" t="s">
        <v>33</v>
      </c>
    </row>
    <row r="35" ht="20.25" customHeight="1">
      <c r="A35" s="28">
        <v>14.0</v>
      </c>
      <c r="B35" s="28" t="s">
        <v>48</v>
      </c>
      <c r="C35" s="28" t="s">
        <v>49</v>
      </c>
    </row>
    <row r="36" ht="20.25" customHeight="1">
      <c r="A36" s="28">
        <v>15.0</v>
      </c>
      <c r="B36" s="28" t="s">
        <v>50</v>
      </c>
      <c r="C36" s="28" t="s">
        <v>49</v>
      </c>
    </row>
    <row r="37" ht="20.25" customHeight="1">
      <c r="A37" s="28">
        <v>16.0</v>
      </c>
      <c r="B37" s="28" t="s">
        <v>51</v>
      </c>
      <c r="C37" s="28" t="s">
        <v>49</v>
      </c>
    </row>
    <row r="38" ht="20.25" customHeight="1">
      <c r="A38" s="28">
        <v>17.0</v>
      </c>
      <c r="B38" s="28" t="s">
        <v>52</v>
      </c>
      <c r="C38" s="28" t="s">
        <v>49</v>
      </c>
    </row>
    <row r="39" ht="20.25" customHeight="1">
      <c r="A39" s="28">
        <v>18.0</v>
      </c>
      <c r="B39" s="28" t="s">
        <v>53</v>
      </c>
      <c r="C39" s="28" t="s">
        <v>49</v>
      </c>
    </row>
    <row r="40" ht="20.25" customHeight="1">
      <c r="A40" s="28">
        <v>19.0</v>
      </c>
      <c r="B40" s="28" t="s">
        <v>54</v>
      </c>
      <c r="C40" s="28" t="s">
        <v>49</v>
      </c>
    </row>
    <row r="41" ht="20.25" customHeight="1">
      <c r="A41" s="28">
        <v>20.0</v>
      </c>
      <c r="B41" s="28" t="s">
        <v>55</v>
      </c>
      <c r="C41" s="28" t="s">
        <v>49</v>
      </c>
    </row>
    <row r="42" ht="20.25" customHeight="1">
      <c r="A42" s="28">
        <v>21.0</v>
      </c>
      <c r="B42" s="28" t="s">
        <v>56</v>
      </c>
      <c r="C42" s="28" t="s">
        <v>49</v>
      </c>
    </row>
    <row r="43" ht="20.25" customHeight="1">
      <c r="A43" s="28">
        <v>22.0</v>
      </c>
      <c r="B43" s="28" t="s">
        <v>57</v>
      </c>
      <c r="C43" s="28" t="s">
        <v>49</v>
      </c>
    </row>
    <row r="44" ht="20.25" customHeight="1">
      <c r="A44" s="28">
        <v>23.0</v>
      </c>
      <c r="B44" s="28" t="s">
        <v>58</v>
      </c>
      <c r="C44" s="28" t="s">
        <v>49</v>
      </c>
    </row>
    <row r="45" ht="20.25" customHeight="1">
      <c r="A45" s="28">
        <v>24.0</v>
      </c>
      <c r="B45" s="28" t="s">
        <v>59</v>
      </c>
      <c r="C45" s="28" t="s">
        <v>49</v>
      </c>
    </row>
    <row r="46" ht="20.25" customHeight="1">
      <c r="A46" s="28">
        <v>25.0</v>
      </c>
      <c r="B46" s="28" t="s">
        <v>60</v>
      </c>
      <c r="C46" s="28" t="s">
        <v>49</v>
      </c>
    </row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</sheetData>
  <mergeCells count="30">
    <mergeCell ref="A1:K1"/>
    <mergeCell ref="A3:K3"/>
    <mergeCell ref="A5:K5"/>
    <mergeCell ref="B6:F6"/>
    <mergeCell ref="G6:K6"/>
    <mergeCell ref="B7:F7"/>
    <mergeCell ref="G7:K7"/>
    <mergeCell ref="B11:F11"/>
    <mergeCell ref="B12:F12"/>
    <mergeCell ref="B13:F13"/>
    <mergeCell ref="B14:F14"/>
    <mergeCell ref="B15:F15"/>
    <mergeCell ref="B16:F16"/>
    <mergeCell ref="B8:F8"/>
    <mergeCell ref="G8:K8"/>
    <mergeCell ref="B9:F9"/>
    <mergeCell ref="G9:K9"/>
    <mergeCell ref="B10:F10"/>
    <mergeCell ref="G10:K10"/>
    <mergeCell ref="G11:K11"/>
    <mergeCell ref="F21:K21"/>
    <mergeCell ref="F22:K22"/>
    <mergeCell ref="F23:K23"/>
    <mergeCell ref="G12:K12"/>
    <mergeCell ref="G13:K13"/>
    <mergeCell ref="G14:K14"/>
    <mergeCell ref="G15:K15"/>
    <mergeCell ref="G16:K16"/>
    <mergeCell ref="A18:K18"/>
    <mergeCell ref="A20:C20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5.63"/>
    <col customWidth="1" min="2" max="2" width="34.0"/>
    <col customWidth="1" min="3" max="3" width="30.5"/>
    <col customWidth="1" min="4" max="5" width="3.88"/>
    <col customWidth="1" min="6" max="6" width="38.63"/>
    <col customWidth="1" min="7" max="10" width="8.88"/>
    <col customWidth="1" min="11" max="23" width="3.88"/>
    <col customWidth="1" min="24" max="24" width="54.0"/>
    <col customWidth="1" min="25" max="25" width="30.38"/>
  </cols>
  <sheetData>
    <row r="1" ht="15.75" customHeight="1">
      <c r="A1" s="30" t="s">
        <v>61</v>
      </c>
    </row>
    <row r="2" ht="15.75" customHeight="1">
      <c r="A2" s="30" t="s">
        <v>61</v>
      </c>
    </row>
    <row r="3" ht="15.75" customHeight="1">
      <c r="A3" s="31" t="s">
        <v>4</v>
      </c>
      <c r="B3" s="32" t="s">
        <v>62</v>
      </c>
      <c r="C3" s="17"/>
      <c r="D3" s="17"/>
      <c r="E3" s="18"/>
      <c r="F3" s="33" t="s">
        <v>63</v>
      </c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8"/>
      <c r="X3" s="33" t="s">
        <v>64</v>
      </c>
      <c r="Y3" s="18"/>
    </row>
    <row r="4" ht="37.5" customHeight="1">
      <c r="A4" s="34">
        <v>1.0</v>
      </c>
      <c r="B4" s="35" t="s">
        <v>32</v>
      </c>
      <c r="C4" s="17"/>
      <c r="D4" s="17"/>
      <c r="E4" s="18"/>
      <c r="F4" s="35" t="s">
        <v>65</v>
      </c>
      <c r="G4" s="17"/>
      <c r="H4" s="17"/>
      <c r="I4" s="17"/>
      <c r="J4" s="17"/>
      <c r="K4" s="17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8"/>
      <c r="X4" s="35" t="s">
        <v>66</v>
      </c>
      <c r="Y4" s="18"/>
    </row>
    <row r="5" ht="37.5" customHeight="1">
      <c r="A5" s="34">
        <f t="shared" ref="A5:A28" si="1">A4+1</f>
        <v>2</v>
      </c>
      <c r="B5" s="35" t="s">
        <v>35</v>
      </c>
      <c r="C5" s="17"/>
      <c r="D5" s="17"/>
      <c r="E5" s="18"/>
      <c r="F5" s="35" t="s">
        <v>67</v>
      </c>
      <c r="G5" s="17"/>
      <c r="H5" s="17"/>
      <c r="I5" s="17"/>
      <c r="J5" s="17"/>
      <c r="K5" s="17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8"/>
      <c r="X5" s="35" t="s">
        <v>68</v>
      </c>
      <c r="Y5" s="18"/>
    </row>
    <row r="6" ht="37.5" customHeight="1">
      <c r="A6" s="34">
        <f t="shared" si="1"/>
        <v>3</v>
      </c>
      <c r="B6" s="35" t="s">
        <v>37</v>
      </c>
      <c r="C6" s="17"/>
      <c r="D6" s="17"/>
      <c r="E6" s="18"/>
      <c r="F6" s="35" t="s">
        <v>69</v>
      </c>
      <c r="G6" s="17"/>
      <c r="H6" s="17"/>
      <c r="I6" s="17"/>
      <c r="J6" s="17"/>
      <c r="K6" s="17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8"/>
      <c r="X6" s="35" t="s">
        <v>70</v>
      </c>
      <c r="Y6" s="18"/>
    </row>
    <row r="7" ht="37.5" customHeight="1">
      <c r="A7" s="34">
        <f t="shared" si="1"/>
        <v>4</v>
      </c>
      <c r="B7" s="35" t="s">
        <v>38</v>
      </c>
      <c r="C7" s="17"/>
      <c r="D7" s="17"/>
      <c r="E7" s="18"/>
      <c r="F7" s="35" t="s">
        <v>71</v>
      </c>
      <c r="G7" s="17"/>
      <c r="H7" s="17"/>
      <c r="I7" s="17"/>
      <c r="J7" s="17"/>
      <c r="K7" s="17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8"/>
      <c r="X7" s="35" t="s">
        <v>72</v>
      </c>
      <c r="Y7" s="18"/>
    </row>
    <row r="8" ht="37.5" customHeight="1">
      <c r="A8" s="34">
        <f t="shared" si="1"/>
        <v>5</v>
      </c>
      <c r="B8" s="35" t="s">
        <v>39</v>
      </c>
      <c r="C8" s="17"/>
      <c r="D8" s="17"/>
      <c r="E8" s="18"/>
      <c r="F8" s="35" t="s">
        <v>73</v>
      </c>
      <c r="G8" s="17"/>
      <c r="H8" s="17"/>
      <c r="I8" s="17"/>
      <c r="J8" s="17"/>
      <c r="K8" s="17"/>
      <c r="L8" s="17"/>
      <c r="M8" s="17"/>
      <c r="N8" s="17"/>
      <c r="O8" s="17"/>
      <c r="P8" s="17"/>
      <c r="Q8" s="17"/>
      <c r="R8" s="17"/>
      <c r="S8" s="17"/>
      <c r="T8" s="17"/>
      <c r="U8" s="17"/>
      <c r="V8" s="17"/>
      <c r="W8" s="18"/>
      <c r="X8" s="35" t="s">
        <v>74</v>
      </c>
      <c r="Y8" s="18"/>
    </row>
    <row r="9" ht="37.5" customHeight="1">
      <c r="A9" s="34">
        <f t="shared" si="1"/>
        <v>6</v>
      </c>
      <c r="B9" s="35" t="s">
        <v>40</v>
      </c>
      <c r="C9" s="17"/>
      <c r="D9" s="17"/>
      <c r="E9" s="18"/>
      <c r="F9" s="35" t="s">
        <v>75</v>
      </c>
      <c r="G9" s="17"/>
      <c r="H9" s="17"/>
      <c r="I9" s="17"/>
      <c r="J9" s="17"/>
      <c r="K9" s="17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8"/>
      <c r="X9" s="35" t="s">
        <v>76</v>
      </c>
      <c r="Y9" s="18"/>
    </row>
    <row r="10" ht="37.5" customHeight="1">
      <c r="A10" s="34">
        <f t="shared" si="1"/>
        <v>7</v>
      </c>
      <c r="B10" s="35" t="s">
        <v>41</v>
      </c>
      <c r="C10" s="17"/>
      <c r="D10" s="17"/>
      <c r="E10" s="18"/>
      <c r="F10" s="35" t="s">
        <v>77</v>
      </c>
      <c r="G10" s="17"/>
      <c r="H10" s="17"/>
      <c r="I10" s="17"/>
      <c r="J10" s="17"/>
      <c r="K10" s="17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8"/>
      <c r="X10" s="35" t="s">
        <v>78</v>
      </c>
      <c r="Y10" s="18"/>
    </row>
    <row r="11" ht="37.5" customHeight="1">
      <c r="A11" s="34">
        <f t="shared" si="1"/>
        <v>8</v>
      </c>
      <c r="B11" s="35" t="s">
        <v>42</v>
      </c>
      <c r="C11" s="17"/>
      <c r="D11" s="17"/>
      <c r="E11" s="18"/>
      <c r="F11" s="35" t="s">
        <v>79</v>
      </c>
      <c r="G11" s="17"/>
      <c r="H11" s="17"/>
      <c r="I11" s="17"/>
      <c r="J11" s="17"/>
      <c r="K11" s="17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8"/>
      <c r="X11" s="35" t="s">
        <v>80</v>
      </c>
      <c r="Y11" s="18"/>
    </row>
    <row r="12" ht="37.5" customHeight="1">
      <c r="A12" s="34">
        <f t="shared" si="1"/>
        <v>9</v>
      </c>
      <c r="B12" s="35" t="s">
        <v>43</v>
      </c>
      <c r="C12" s="17"/>
      <c r="D12" s="17"/>
      <c r="E12" s="18"/>
      <c r="F12" s="35" t="s">
        <v>81</v>
      </c>
      <c r="G12" s="17"/>
      <c r="H12" s="17"/>
      <c r="I12" s="17"/>
      <c r="J12" s="17"/>
      <c r="K12" s="17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8"/>
      <c r="X12" s="35" t="s">
        <v>82</v>
      </c>
      <c r="Y12" s="18"/>
    </row>
    <row r="13" ht="37.5" customHeight="1">
      <c r="A13" s="34">
        <f t="shared" si="1"/>
        <v>10</v>
      </c>
      <c r="B13" s="35" t="s">
        <v>44</v>
      </c>
      <c r="C13" s="17"/>
      <c r="D13" s="17"/>
      <c r="E13" s="18"/>
      <c r="F13" s="35" t="s">
        <v>83</v>
      </c>
      <c r="G13" s="17"/>
      <c r="H13" s="17"/>
      <c r="I13" s="17"/>
      <c r="J13" s="17"/>
      <c r="K13" s="17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8"/>
      <c r="X13" s="35" t="s">
        <v>84</v>
      </c>
      <c r="Y13" s="18"/>
    </row>
    <row r="14" ht="37.5" customHeight="1">
      <c r="A14" s="34">
        <f t="shared" si="1"/>
        <v>11</v>
      </c>
      <c r="B14" s="35" t="s">
        <v>45</v>
      </c>
      <c r="C14" s="17"/>
      <c r="D14" s="17"/>
      <c r="E14" s="18"/>
      <c r="F14" s="35" t="s">
        <v>85</v>
      </c>
      <c r="G14" s="17"/>
      <c r="H14" s="17"/>
      <c r="I14" s="17"/>
      <c r="J14" s="17"/>
      <c r="K14" s="17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8"/>
      <c r="X14" s="35" t="s">
        <v>86</v>
      </c>
      <c r="Y14" s="18"/>
    </row>
    <row r="15" ht="37.5" customHeight="1">
      <c r="A15" s="34">
        <f t="shared" si="1"/>
        <v>12</v>
      </c>
      <c r="B15" s="35" t="s">
        <v>46</v>
      </c>
      <c r="C15" s="17"/>
      <c r="D15" s="17"/>
      <c r="E15" s="18"/>
      <c r="F15" s="35" t="s">
        <v>87</v>
      </c>
      <c r="G15" s="17"/>
      <c r="H15" s="17"/>
      <c r="I15" s="17"/>
      <c r="J15" s="17"/>
      <c r="K15" s="17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8"/>
      <c r="X15" s="35" t="s">
        <v>88</v>
      </c>
      <c r="Y15" s="18"/>
    </row>
    <row r="16" ht="37.5" customHeight="1">
      <c r="A16" s="34">
        <f t="shared" si="1"/>
        <v>13</v>
      </c>
      <c r="B16" s="35" t="s">
        <v>47</v>
      </c>
      <c r="C16" s="17"/>
      <c r="D16" s="17"/>
      <c r="E16" s="18"/>
      <c r="F16" s="35" t="s">
        <v>89</v>
      </c>
      <c r="G16" s="17"/>
      <c r="H16" s="17"/>
      <c r="I16" s="17"/>
      <c r="J16" s="17"/>
      <c r="K16" s="17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8"/>
      <c r="X16" s="35" t="s">
        <v>90</v>
      </c>
      <c r="Y16" s="18"/>
    </row>
    <row r="17" ht="37.5" customHeight="1">
      <c r="A17" s="34">
        <f t="shared" si="1"/>
        <v>14</v>
      </c>
      <c r="B17" s="35" t="s">
        <v>48</v>
      </c>
      <c r="C17" s="17"/>
      <c r="D17" s="17"/>
      <c r="E17" s="18"/>
      <c r="F17" s="35" t="s">
        <v>91</v>
      </c>
      <c r="G17" s="17"/>
      <c r="H17" s="17"/>
      <c r="I17" s="17"/>
      <c r="J17" s="17"/>
      <c r="K17" s="17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8"/>
      <c r="X17" s="35" t="s">
        <v>92</v>
      </c>
      <c r="Y17" s="18"/>
    </row>
    <row r="18" ht="37.5" customHeight="1">
      <c r="A18" s="34">
        <f t="shared" si="1"/>
        <v>15</v>
      </c>
      <c r="B18" s="35" t="s">
        <v>50</v>
      </c>
      <c r="C18" s="17"/>
      <c r="D18" s="17"/>
      <c r="E18" s="18"/>
      <c r="F18" s="35" t="s">
        <v>93</v>
      </c>
      <c r="G18" s="17"/>
      <c r="H18" s="17"/>
      <c r="I18" s="17"/>
      <c r="J18" s="17"/>
      <c r="K18" s="17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8"/>
      <c r="X18" s="35" t="s">
        <v>94</v>
      </c>
      <c r="Y18" s="18"/>
    </row>
    <row r="19" ht="37.5" customHeight="1">
      <c r="A19" s="34">
        <f t="shared" si="1"/>
        <v>16</v>
      </c>
      <c r="B19" s="35" t="s">
        <v>51</v>
      </c>
      <c r="C19" s="17"/>
      <c r="D19" s="17"/>
      <c r="E19" s="18"/>
      <c r="F19" s="35" t="s">
        <v>95</v>
      </c>
      <c r="G19" s="17"/>
      <c r="H19" s="17"/>
      <c r="I19" s="17"/>
      <c r="J19" s="17"/>
      <c r="K19" s="17"/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8"/>
      <c r="X19" s="35" t="s">
        <v>96</v>
      </c>
      <c r="Y19" s="18"/>
    </row>
    <row r="20" ht="37.5" customHeight="1">
      <c r="A20" s="34">
        <f t="shared" si="1"/>
        <v>17</v>
      </c>
      <c r="B20" s="35" t="s">
        <v>52</v>
      </c>
      <c r="C20" s="17"/>
      <c r="D20" s="17"/>
      <c r="E20" s="18"/>
      <c r="F20" s="35" t="s">
        <v>97</v>
      </c>
      <c r="G20" s="17"/>
      <c r="H20" s="17"/>
      <c r="I20" s="17"/>
      <c r="J20" s="17"/>
      <c r="K20" s="17"/>
      <c r="L20" s="17"/>
      <c r="M20" s="17"/>
      <c r="N20" s="17"/>
      <c r="O20" s="17"/>
      <c r="P20" s="17"/>
      <c r="Q20" s="17"/>
      <c r="R20" s="17"/>
      <c r="S20" s="17"/>
      <c r="T20" s="17"/>
      <c r="U20" s="17"/>
      <c r="V20" s="17"/>
      <c r="W20" s="18"/>
      <c r="X20" s="35" t="s">
        <v>98</v>
      </c>
      <c r="Y20" s="18"/>
    </row>
    <row r="21" ht="37.5" customHeight="1">
      <c r="A21" s="34">
        <f t="shared" si="1"/>
        <v>18</v>
      </c>
      <c r="B21" s="35" t="s">
        <v>53</v>
      </c>
      <c r="C21" s="17"/>
      <c r="D21" s="17"/>
      <c r="E21" s="18"/>
      <c r="F21" s="35" t="s">
        <v>99</v>
      </c>
      <c r="G21" s="17"/>
      <c r="H21" s="17"/>
      <c r="I21" s="17"/>
      <c r="J21" s="17"/>
      <c r="K21" s="17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8"/>
      <c r="X21" s="35" t="s">
        <v>100</v>
      </c>
      <c r="Y21" s="18"/>
    </row>
    <row r="22" ht="37.5" customHeight="1">
      <c r="A22" s="34">
        <f t="shared" si="1"/>
        <v>19</v>
      </c>
      <c r="B22" s="35" t="s">
        <v>54</v>
      </c>
      <c r="C22" s="17"/>
      <c r="D22" s="17"/>
      <c r="E22" s="18"/>
      <c r="F22" s="35" t="s">
        <v>101</v>
      </c>
      <c r="G22" s="17"/>
      <c r="H22" s="17"/>
      <c r="I22" s="17"/>
      <c r="J22" s="17"/>
      <c r="K22" s="17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8"/>
      <c r="X22" s="35" t="s">
        <v>102</v>
      </c>
      <c r="Y22" s="18"/>
    </row>
    <row r="23" ht="37.5" customHeight="1">
      <c r="A23" s="34">
        <f t="shared" si="1"/>
        <v>20</v>
      </c>
      <c r="B23" s="35" t="s">
        <v>55</v>
      </c>
      <c r="C23" s="17"/>
      <c r="D23" s="17"/>
      <c r="E23" s="18"/>
      <c r="F23" s="35" t="s">
        <v>103</v>
      </c>
      <c r="G23" s="17"/>
      <c r="H23" s="17"/>
      <c r="I23" s="17"/>
      <c r="J23" s="17"/>
      <c r="K23" s="17"/>
      <c r="L23" s="17"/>
      <c r="M23" s="17"/>
      <c r="N23" s="17"/>
      <c r="O23" s="17"/>
      <c r="P23" s="17"/>
      <c r="Q23" s="17"/>
      <c r="R23" s="17"/>
      <c r="S23" s="17"/>
      <c r="T23" s="17"/>
      <c r="U23" s="17"/>
      <c r="V23" s="17"/>
      <c r="W23" s="18"/>
      <c r="X23" s="35" t="s">
        <v>104</v>
      </c>
      <c r="Y23" s="18"/>
    </row>
    <row r="24" ht="37.5" customHeight="1">
      <c r="A24" s="34">
        <f t="shared" si="1"/>
        <v>21</v>
      </c>
      <c r="B24" s="35" t="s">
        <v>56</v>
      </c>
      <c r="C24" s="17"/>
      <c r="D24" s="17"/>
      <c r="E24" s="18"/>
      <c r="F24" s="35" t="s">
        <v>105</v>
      </c>
      <c r="G24" s="17"/>
      <c r="H24" s="17"/>
      <c r="I24" s="17"/>
      <c r="J24" s="17"/>
      <c r="K24" s="17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8"/>
      <c r="X24" s="35" t="s">
        <v>106</v>
      </c>
      <c r="Y24" s="18"/>
    </row>
    <row r="25" ht="37.5" customHeight="1">
      <c r="A25" s="34">
        <f t="shared" si="1"/>
        <v>22</v>
      </c>
      <c r="B25" s="35" t="s">
        <v>57</v>
      </c>
      <c r="C25" s="17"/>
      <c r="D25" s="17"/>
      <c r="E25" s="18"/>
      <c r="F25" s="35" t="s">
        <v>107</v>
      </c>
      <c r="G25" s="17"/>
      <c r="H25" s="17"/>
      <c r="I25" s="17"/>
      <c r="J25" s="17"/>
      <c r="K25" s="17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8"/>
      <c r="X25" s="35" t="s">
        <v>108</v>
      </c>
      <c r="Y25" s="18"/>
    </row>
    <row r="26" ht="37.5" customHeight="1">
      <c r="A26" s="34">
        <f t="shared" si="1"/>
        <v>23</v>
      </c>
      <c r="B26" s="35" t="s">
        <v>58</v>
      </c>
      <c r="C26" s="17"/>
      <c r="D26" s="17"/>
      <c r="E26" s="18"/>
      <c r="F26" s="35" t="s">
        <v>109</v>
      </c>
      <c r="G26" s="17"/>
      <c r="H26" s="17"/>
      <c r="I26" s="17"/>
      <c r="J26" s="17"/>
      <c r="K26" s="17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8"/>
      <c r="X26" s="35" t="s">
        <v>110</v>
      </c>
      <c r="Y26" s="18"/>
    </row>
    <row r="27" ht="37.5" customHeight="1">
      <c r="A27" s="34">
        <f t="shared" si="1"/>
        <v>24</v>
      </c>
      <c r="B27" s="35" t="s">
        <v>59</v>
      </c>
      <c r="C27" s="17"/>
      <c r="D27" s="17"/>
      <c r="E27" s="18"/>
      <c r="F27" s="35" t="s">
        <v>111</v>
      </c>
      <c r="G27" s="17"/>
      <c r="H27" s="17"/>
      <c r="I27" s="17"/>
      <c r="J27" s="17"/>
      <c r="K27" s="17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8"/>
      <c r="X27" s="35" t="s">
        <v>112</v>
      </c>
      <c r="Y27" s="18"/>
    </row>
    <row r="28" ht="37.5" customHeight="1">
      <c r="A28" s="34">
        <f t="shared" si="1"/>
        <v>25</v>
      </c>
      <c r="B28" s="35" t="s">
        <v>60</v>
      </c>
      <c r="C28" s="17"/>
      <c r="D28" s="17"/>
      <c r="E28" s="18"/>
      <c r="F28" s="35" t="s">
        <v>113</v>
      </c>
      <c r="G28" s="17"/>
      <c r="H28" s="17"/>
      <c r="I28" s="17"/>
      <c r="J28" s="17"/>
      <c r="K28" s="17"/>
      <c r="L28" s="17"/>
      <c r="M28" s="17"/>
      <c r="N28" s="17"/>
      <c r="O28" s="17"/>
      <c r="P28" s="17"/>
      <c r="Q28" s="17"/>
      <c r="R28" s="17"/>
      <c r="S28" s="17"/>
      <c r="T28" s="17"/>
      <c r="U28" s="17"/>
      <c r="V28" s="17"/>
      <c r="W28" s="18"/>
      <c r="X28" s="35" t="s">
        <v>114</v>
      </c>
      <c r="Y28" s="18"/>
    </row>
    <row r="29" ht="15.75" customHeight="1">
      <c r="A29" s="36" t="s">
        <v>115</v>
      </c>
    </row>
    <row r="30" ht="45.0" customHeight="1">
      <c r="A30" s="37"/>
    </row>
    <row r="31" ht="45.0" customHeight="1">
      <c r="A31" s="38">
        <f>A4</f>
        <v>1</v>
      </c>
      <c r="B31" s="39" t="s">
        <v>116</v>
      </c>
      <c r="C31" s="40" t="str">
        <f>B4</f>
        <v>eps</v>
      </c>
      <c r="D31" s="17"/>
      <c r="E31" s="17"/>
      <c r="F31" s="18"/>
      <c r="G31" s="41" t="s">
        <v>117</v>
      </c>
      <c r="H31" s="17"/>
      <c r="I31" s="17"/>
      <c r="J31" s="18"/>
      <c r="K31" s="35" t="str">
        <f>F4</f>
        <v>Contiene los datos identificativos de la EPS</v>
      </c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8"/>
      <c r="X31" s="42" t="s">
        <v>118</v>
      </c>
      <c r="Y31" s="43" t="str">
        <f>Y68</f>
        <v>002_agregar_columna_check</v>
      </c>
    </row>
    <row r="32" ht="45.0" customHeight="1">
      <c r="A32" s="42" t="s">
        <v>4</v>
      </c>
      <c r="B32" s="42" t="s">
        <v>119</v>
      </c>
      <c r="C32" s="39" t="s">
        <v>120</v>
      </c>
      <c r="D32" s="17"/>
      <c r="E32" s="17"/>
      <c r="F32" s="18"/>
      <c r="G32" s="41" t="s">
        <v>121</v>
      </c>
      <c r="H32" s="17"/>
      <c r="I32" s="17"/>
      <c r="J32" s="18"/>
      <c r="K32" s="39" t="s">
        <v>122</v>
      </c>
      <c r="L32" s="17"/>
      <c r="M32" s="17"/>
      <c r="N32" s="18"/>
      <c r="O32" s="39" t="s">
        <v>123</v>
      </c>
      <c r="P32" s="17"/>
      <c r="Q32" s="18"/>
      <c r="R32" s="39" t="s">
        <v>124</v>
      </c>
      <c r="S32" s="18"/>
      <c r="T32" s="39" t="s">
        <v>125</v>
      </c>
      <c r="U32" s="18"/>
      <c r="V32" s="39" t="s">
        <v>126</v>
      </c>
      <c r="W32" s="18"/>
      <c r="X32" s="41" t="s">
        <v>127</v>
      </c>
      <c r="Y32" s="44" t="s">
        <v>64</v>
      </c>
    </row>
    <row r="33" ht="45.0" customHeight="1">
      <c r="A33" s="45">
        <v>1.0</v>
      </c>
      <c r="B33" s="46" t="s">
        <v>128</v>
      </c>
      <c r="C33" s="47" t="s">
        <v>129</v>
      </c>
      <c r="D33" s="17"/>
      <c r="E33" s="17"/>
      <c r="F33" s="18"/>
      <c r="G33" s="48" t="str">
        <f>G70</f>
        <v>CHARACTER VARYING</v>
      </c>
      <c r="H33" s="17"/>
      <c r="I33" s="17"/>
      <c r="J33" s="18"/>
      <c r="K33" s="49">
        <v>20.0</v>
      </c>
      <c r="L33" s="17"/>
      <c r="M33" s="17"/>
      <c r="N33" s="18"/>
      <c r="O33" s="49" t="s">
        <v>130</v>
      </c>
      <c r="P33" s="17"/>
      <c r="Q33" s="18"/>
      <c r="R33" s="49" t="s">
        <v>131</v>
      </c>
      <c r="S33" s="18"/>
      <c r="T33" s="50"/>
      <c r="U33" s="18"/>
      <c r="V33" s="50"/>
      <c r="W33" s="18"/>
      <c r="X33" s="51"/>
      <c r="Y33" s="52" t="s">
        <v>132</v>
      </c>
    </row>
    <row r="34" ht="45.0" customHeight="1">
      <c r="A34" s="45">
        <v>2.0</v>
      </c>
      <c r="B34" s="46" t="s">
        <v>133</v>
      </c>
      <c r="C34" s="47" t="s">
        <v>134</v>
      </c>
      <c r="D34" s="17"/>
      <c r="E34" s="17"/>
      <c r="F34" s="18"/>
      <c r="G34" s="48" t="str">
        <f>G70</f>
        <v>CHARACTER VARYING</v>
      </c>
      <c r="H34" s="17"/>
      <c r="I34" s="17"/>
      <c r="J34" s="18"/>
      <c r="K34" s="49">
        <v>20.0</v>
      </c>
      <c r="L34" s="17"/>
      <c r="M34" s="17"/>
      <c r="N34" s="18"/>
      <c r="O34" s="50"/>
      <c r="P34" s="17"/>
      <c r="Q34" s="18"/>
      <c r="R34" s="50"/>
      <c r="S34" s="18"/>
      <c r="T34" s="50"/>
      <c r="U34" s="18"/>
      <c r="V34" s="50"/>
      <c r="W34" s="18"/>
      <c r="X34" s="51" t="str">
        <f>X71</f>
        <v>nombre &lt;&gt; ''</v>
      </c>
      <c r="Y34" s="52" t="s">
        <v>135</v>
      </c>
    </row>
    <row r="35" ht="45.0" customHeight="1">
      <c r="A35" s="37"/>
    </row>
    <row r="36" ht="45.0" customHeight="1">
      <c r="A36" s="53">
        <f>A5</f>
        <v>2</v>
      </c>
      <c r="B36" s="54" t="s">
        <v>116</v>
      </c>
      <c r="C36" s="40" t="str">
        <f>B5</f>
        <v>ubicacion</v>
      </c>
      <c r="D36" s="17"/>
      <c r="E36" s="17"/>
      <c r="F36" s="18"/>
      <c r="G36" s="55" t="s">
        <v>117</v>
      </c>
      <c r="H36" s="17"/>
      <c r="I36" s="17"/>
      <c r="J36" s="18"/>
      <c r="K36" s="35" t="str">
        <f>F5</f>
        <v>Información sobre la localización geográfica del hospital</v>
      </c>
      <c r="L36" s="17"/>
      <c r="M36" s="17"/>
      <c r="N36" s="17"/>
      <c r="O36" s="17"/>
      <c r="P36" s="17"/>
      <c r="Q36" s="17"/>
      <c r="R36" s="17"/>
      <c r="S36" s="17"/>
      <c r="T36" s="17"/>
      <c r="U36" s="17"/>
      <c r="V36" s="17"/>
      <c r="W36" s="18"/>
      <c r="X36" s="56" t="s">
        <v>118</v>
      </c>
      <c r="Y36" s="43" t="str">
        <f>Y68</f>
        <v>002_agregar_columna_check</v>
      </c>
    </row>
    <row r="37" ht="45.0" customHeight="1">
      <c r="A37" s="56" t="s">
        <v>4</v>
      </c>
      <c r="B37" s="56" t="s">
        <v>119</v>
      </c>
      <c r="C37" s="54" t="s">
        <v>120</v>
      </c>
      <c r="D37" s="17"/>
      <c r="E37" s="17"/>
      <c r="F37" s="18"/>
      <c r="G37" s="55" t="s">
        <v>121</v>
      </c>
      <c r="H37" s="17"/>
      <c r="I37" s="17"/>
      <c r="J37" s="18"/>
      <c r="K37" s="54" t="s">
        <v>122</v>
      </c>
      <c r="L37" s="17"/>
      <c r="M37" s="17"/>
      <c r="N37" s="18"/>
      <c r="O37" s="54" t="s">
        <v>123</v>
      </c>
      <c r="P37" s="17"/>
      <c r="Q37" s="18"/>
      <c r="R37" s="54" t="s">
        <v>124</v>
      </c>
      <c r="S37" s="18"/>
      <c r="T37" s="54" t="s">
        <v>125</v>
      </c>
      <c r="U37" s="18"/>
      <c r="V37" s="54" t="s">
        <v>126</v>
      </c>
      <c r="W37" s="18"/>
      <c r="X37" s="55" t="s">
        <v>127</v>
      </c>
      <c r="Y37" s="57" t="s">
        <v>64</v>
      </c>
    </row>
    <row r="38" ht="45.0" customHeight="1">
      <c r="A38" s="58">
        <v>1.0</v>
      </c>
      <c r="B38" s="46" t="s">
        <v>136</v>
      </c>
      <c r="C38" s="47" t="s">
        <v>137</v>
      </c>
      <c r="D38" s="17"/>
      <c r="E38" s="17"/>
      <c r="F38" s="18"/>
      <c r="G38" s="59" t="str">
        <f>G70</f>
        <v>CHARACTER VARYING</v>
      </c>
      <c r="H38" s="17"/>
      <c r="I38" s="17"/>
      <c r="J38" s="18"/>
      <c r="K38" s="60">
        <v>25.0</v>
      </c>
      <c r="L38" s="17"/>
      <c r="M38" s="17"/>
      <c r="N38" s="18"/>
      <c r="O38" s="60" t="s">
        <v>130</v>
      </c>
      <c r="P38" s="17"/>
      <c r="Q38" s="18"/>
      <c r="R38" s="60" t="s">
        <v>131</v>
      </c>
      <c r="S38" s="18"/>
      <c r="T38" s="60"/>
      <c r="U38" s="18"/>
      <c r="V38" s="61"/>
      <c r="W38" s="18"/>
      <c r="X38" s="62"/>
      <c r="Y38" s="63" t="s">
        <v>132</v>
      </c>
    </row>
    <row r="39" ht="45.0" customHeight="1">
      <c r="A39" s="58">
        <v>2.0</v>
      </c>
      <c r="B39" s="46" t="s">
        <v>138</v>
      </c>
      <c r="C39" s="47" t="s">
        <v>139</v>
      </c>
      <c r="D39" s="17"/>
      <c r="E39" s="17"/>
      <c r="F39" s="18"/>
      <c r="G39" s="59" t="str">
        <f>G70</f>
        <v>CHARACTER VARYING</v>
      </c>
      <c r="H39" s="17"/>
      <c r="I39" s="17"/>
      <c r="J39" s="18"/>
      <c r="K39" s="60">
        <v>20.0</v>
      </c>
      <c r="L39" s="17"/>
      <c r="M39" s="17"/>
      <c r="N39" s="18"/>
      <c r="O39" s="61"/>
      <c r="P39" s="17"/>
      <c r="Q39" s="18"/>
      <c r="R39" s="61"/>
      <c r="S39" s="18"/>
      <c r="T39" s="60"/>
      <c r="U39" s="18"/>
      <c r="V39" s="61"/>
      <c r="W39" s="18"/>
      <c r="X39" s="64" t="s">
        <v>140</v>
      </c>
      <c r="Y39" s="63" t="s">
        <v>141</v>
      </c>
    </row>
    <row r="40" ht="45.0" customHeight="1">
      <c r="A40" s="58">
        <v>3.0</v>
      </c>
      <c r="B40" s="46" t="s">
        <v>142</v>
      </c>
      <c r="C40" s="47" t="s">
        <v>143</v>
      </c>
      <c r="D40" s="17"/>
      <c r="E40" s="17"/>
      <c r="F40" s="18"/>
      <c r="G40" s="59" t="str">
        <f>G70</f>
        <v>CHARACTER VARYING</v>
      </c>
      <c r="H40" s="17"/>
      <c r="I40" s="17"/>
      <c r="J40" s="18"/>
      <c r="K40" s="60">
        <v>20.0</v>
      </c>
      <c r="L40" s="17"/>
      <c r="M40" s="17"/>
      <c r="N40" s="18"/>
      <c r="O40" s="61"/>
      <c r="P40" s="17"/>
      <c r="Q40" s="18"/>
      <c r="R40" s="61"/>
      <c r="S40" s="18"/>
      <c r="T40" s="60"/>
      <c r="U40" s="18"/>
      <c r="V40" s="61"/>
      <c r="W40" s="18"/>
      <c r="X40" s="64" t="s">
        <v>144</v>
      </c>
      <c r="Y40" s="63" t="s">
        <v>145</v>
      </c>
    </row>
    <row r="41" ht="45.0" customHeight="1">
      <c r="A41" s="58">
        <v>4.0</v>
      </c>
      <c r="B41" s="46" t="s">
        <v>146</v>
      </c>
      <c r="C41" s="47" t="s">
        <v>147</v>
      </c>
      <c r="D41" s="17"/>
      <c r="E41" s="17"/>
      <c r="F41" s="18"/>
      <c r="G41" s="59" t="str">
        <f>G70</f>
        <v>CHARACTER VARYING</v>
      </c>
      <c r="H41" s="17"/>
      <c r="I41" s="17"/>
      <c r="J41" s="18"/>
      <c r="K41" s="60">
        <v>20.0</v>
      </c>
      <c r="L41" s="17"/>
      <c r="M41" s="17"/>
      <c r="N41" s="18"/>
      <c r="O41" s="60" t="s">
        <v>130</v>
      </c>
      <c r="P41" s="17"/>
      <c r="Q41" s="18"/>
      <c r="R41" s="61"/>
      <c r="S41" s="18"/>
      <c r="T41" s="60"/>
      <c r="U41" s="18"/>
      <c r="V41" s="61"/>
      <c r="W41" s="18"/>
      <c r="X41" s="64" t="s">
        <v>148</v>
      </c>
      <c r="Y41" s="63" t="s">
        <v>149</v>
      </c>
    </row>
    <row r="42" ht="45.0" customHeight="1">
      <c r="A42" s="37"/>
    </row>
    <row r="43" ht="45.0" customHeight="1">
      <c r="A43" s="38">
        <f>A6</f>
        <v>3</v>
      </c>
      <c r="B43" s="39" t="s">
        <v>116</v>
      </c>
      <c r="C43" s="40" t="str">
        <f>B6</f>
        <v>hospital</v>
      </c>
      <c r="D43" s="17"/>
      <c r="E43" s="17"/>
      <c r="F43" s="18"/>
      <c r="G43" s="41" t="s">
        <v>117</v>
      </c>
      <c r="H43" s="17"/>
      <c r="I43" s="17"/>
      <c r="J43" s="18"/>
      <c r="K43" s="35" t="str">
        <f>F6</f>
        <v>Registra datos principales del hospital</v>
      </c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8"/>
      <c r="X43" s="42" t="s">
        <v>118</v>
      </c>
      <c r="Y43" s="43" t="str">
        <f>Y68</f>
        <v>002_agregar_columna_check</v>
      </c>
    </row>
    <row r="44" ht="45.0" customHeight="1">
      <c r="A44" s="42" t="s">
        <v>4</v>
      </c>
      <c r="B44" s="42" t="s">
        <v>119</v>
      </c>
      <c r="C44" s="39" t="s">
        <v>120</v>
      </c>
      <c r="D44" s="17"/>
      <c r="E44" s="17"/>
      <c r="F44" s="18"/>
      <c r="G44" s="41" t="s">
        <v>121</v>
      </c>
      <c r="H44" s="17"/>
      <c r="I44" s="17"/>
      <c r="J44" s="18"/>
      <c r="K44" s="39" t="s">
        <v>122</v>
      </c>
      <c r="L44" s="17"/>
      <c r="M44" s="17"/>
      <c r="N44" s="18"/>
      <c r="O44" s="39" t="s">
        <v>123</v>
      </c>
      <c r="P44" s="17"/>
      <c r="Q44" s="18"/>
      <c r="R44" s="39" t="s">
        <v>124</v>
      </c>
      <c r="S44" s="18"/>
      <c r="T44" s="39" t="s">
        <v>125</v>
      </c>
      <c r="U44" s="18"/>
      <c r="V44" s="39" t="s">
        <v>126</v>
      </c>
      <c r="W44" s="18"/>
      <c r="X44" s="41" t="s">
        <v>127</v>
      </c>
      <c r="Y44" s="44" t="s">
        <v>64</v>
      </c>
    </row>
    <row r="45" ht="45.0" customHeight="1">
      <c r="A45" s="45">
        <v>1.0</v>
      </c>
      <c r="B45" s="46" t="s">
        <v>150</v>
      </c>
      <c r="C45" s="47" t="s">
        <v>151</v>
      </c>
      <c r="D45" s="17"/>
      <c r="E45" s="17"/>
      <c r="F45" s="18"/>
      <c r="G45" s="48" t="str">
        <f>G70</f>
        <v>CHARACTER VARYING</v>
      </c>
      <c r="H45" s="17"/>
      <c r="I45" s="17"/>
      <c r="J45" s="18"/>
      <c r="K45" s="48">
        <v>20.0</v>
      </c>
      <c r="L45" s="17"/>
      <c r="M45" s="17"/>
      <c r="N45" s="18"/>
      <c r="O45" s="48" t="s">
        <v>130</v>
      </c>
      <c r="P45" s="17"/>
      <c r="Q45" s="18"/>
      <c r="R45" s="49" t="s">
        <v>131</v>
      </c>
      <c r="S45" s="18"/>
      <c r="T45" s="50"/>
      <c r="U45" s="18"/>
      <c r="V45" s="50"/>
      <c r="W45" s="18"/>
      <c r="X45" s="51"/>
      <c r="Y45" s="52" t="s">
        <v>132</v>
      </c>
    </row>
    <row r="46" ht="45.0" customHeight="1">
      <c r="A46" s="45">
        <v>2.0</v>
      </c>
      <c r="B46" s="46" t="s">
        <v>133</v>
      </c>
      <c r="C46" s="47" t="s">
        <v>152</v>
      </c>
      <c r="D46" s="17"/>
      <c r="E46" s="17"/>
      <c r="F46" s="18"/>
      <c r="G46" s="48" t="str">
        <f>G70</f>
        <v>CHARACTER VARYING</v>
      </c>
      <c r="H46" s="17"/>
      <c r="I46" s="17"/>
      <c r="J46" s="18"/>
      <c r="K46" s="48">
        <v>40.0</v>
      </c>
      <c r="L46" s="17"/>
      <c r="M46" s="17"/>
      <c r="N46" s="18"/>
      <c r="O46" s="65"/>
      <c r="P46" s="17"/>
      <c r="Q46" s="18"/>
      <c r="R46" s="50"/>
      <c r="S46" s="18"/>
      <c r="T46" s="50"/>
      <c r="U46" s="18"/>
      <c r="V46" s="50"/>
      <c r="W46" s="18"/>
      <c r="X46" s="51" t="str">
        <f>X71</f>
        <v>nombre &lt;&gt; ''</v>
      </c>
      <c r="Y46" s="52" t="s">
        <v>135</v>
      </c>
    </row>
    <row r="47" ht="45.0" customHeight="1">
      <c r="A47" s="45">
        <v>3.0</v>
      </c>
      <c r="B47" s="46" t="s">
        <v>136</v>
      </c>
      <c r="C47" s="47" t="s">
        <v>153</v>
      </c>
      <c r="D47" s="17"/>
      <c r="E47" s="17"/>
      <c r="F47" s="18"/>
      <c r="G47" s="48" t="str">
        <f>G70</f>
        <v>CHARACTER VARYING</v>
      </c>
      <c r="H47" s="17"/>
      <c r="I47" s="17"/>
      <c r="J47" s="18"/>
      <c r="K47" s="48">
        <v>30.0</v>
      </c>
      <c r="L47" s="17"/>
      <c r="M47" s="17"/>
      <c r="N47" s="18"/>
      <c r="O47" s="48" t="s">
        <v>130</v>
      </c>
      <c r="P47" s="17"/>
      <c r="Q47" s="18"/>
      <c r="R47" s="50"/>
      <c r="S47" s="18"/>
      <c r="T47" s="50"/>
      <c r="U47" s="18"/>
      <c r="V47" s="49" t="s">
        <v>131</v>
      </c>
      <c r="W47" s="18"/>
      <c r="X47" s="51"/>
      <c r="Y47" s="52" t="s">
        <v>154</v>
      </c>
    </row>
    <row r="48" ht="45.0" customHeight="1">
      <c r="A48" s="37"/>
    </row>
    <row r="49" ht="45.0" customHeight="1">
      <c r="A49" s="53">
        <f>A7</f>
        <v>4</v>
      </c>
      <c r="B49" s="54" t="s">
        <v>116</v>
      </c>
      <c r="C49" s="40" t="str">
        <f>B7</f>
        <v>planta</v>
      </c>
      <c r="D49" s="17"/>
      <c r="E49" s="17"/>
      <c r="F49" s="18"/>
      <c r="G49" s="55" t="s">
        <v>117</v>
      </c>
      <c r="H49" s="17"/>
      <c r="I49" s="17"/>
      <c r="J49" s="18"/>
      <c r="K49" s="35" t="str">
        <f>F7</f>
        <v>Almacena información de las plantas del hospital</v>
      </c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8"/>
      <c r="X49" s="56" t="s">
        <v>118</v>
      </c>
      <c r="Y49" s="43" t="str">
        <f>Y68</f>
        <v>002_agregar_columna_check</v>
      </c>
    </row>
    <row r="50" ht="45.0" customHeight="1">
      <c r="A50" s="56" t="s">
        <v>4</v>
      </c>
      <c r="B50" s="56" t="s">
        <v>119</v>
      </c>
      <c r="C50" s="54" t="s">
        <v>120</v>
      </c>
      <c r="D50" s="17"/>
      <c r="E50" s="17"/>
      <c r="F50" s="18"/>
      <c r="G50" s="55" t="s">
        <v>121</v>
      </c>
      <c r="H50" s="17"/>
      <c r="I50" s="17"/>
      <c r="J50" s="18"/>
      <c r="K50" s="54" t="s">
        <v>122</v>
      </c>
      <c r="L50" s="17"/>
      <c r="M50" s="17"/>
      <c r="N50" s="18"/>
      <c r="O50" s="54" t="s">
        <v>123</v>
      </c>
      <c r="P50" s="17"/>
      <c r="Q50" s="18"/>
      <c r="R50" s="54" t="s">
        <v>124</v>
      </c>
      <c r="S50" s="18"/>
      <c r="T50" s="54" t="s">
        <v>125</v>
      </c>
      <c r="U50" s="18"/>
      <c r="V50" s="54" t="s">
        <v>126</v>
      </c>
      <c r="W50" s="18"/>
      <c r="X50" s="55" t="s">
        <v>127</v>
      </c>
      <c r="Y50" s="57" t="s">
        <v>64</v>
      </c>
    </row>
    <row r="51" ht="45.0" customHeight="1">
      <c r="A51" s="58">
        <v>1.0</v>
      </c>
      <c r="B51" s="46" t="s">
        <v>155</v>
      </c>
      <c r="C51" s="47" t="s">
        <v>156</v>
      </c>
      <c r="D51" s="17"/>
      <c r="E51" s="17"/>
      <c r="F51" s="18"/>
      <c r="G51" s="66" t="str">
        <f>G70</f>
        <v>CHARACTER VARYING</v>
      </c>
      <c r="H51" s="17"/>
      <c r="I51" s="17"/>
      <c r="J51" s="18"/>
      <c r="K51" s="67">
        <v>15.0</v>
      </c>
      <c r="L51" s="17"/>
      <c r="M51" s="17"/>
      <c r="N51" s="18"/>
      <c r="O51" s="67" t="s">
        <v>130</v>
      </c>
      <c r="P51" s="17"/>
      <c r="Q51" s="18"/>
      <c r="R51" s="67" t="s">
        <v>131</v>
      </c>
      <c r="S51" s="18"/>
      <c r="T51" s="66"/>
      <c r="U51" s="18"/>
      <c r="V51" s="66"/>
      <c r="W51" s="18"/>
      <c r="X51" s="62"/>
      <c r="Y51" s="63" t="s">
        <v>132</v>
      </c>
    </row>
    <row r="52" ht="45.0" customHeight="1">
      <c r="A52" s="58">
        <v>2.0</v>
      </c>
      <c r="B52" s="46" t="s">
        <v>157</v>
      </c>
      <c r="C52" s="47" t="s">
        <v>158</v>
      </c>
      <c r="D52" s="17"/>
      <c r="E52" s="17"/>
      <c r="F52" s="18"/>
      <c r="G52" s="67" t="s">
        <v>159</v>
      </c>
      <c r="H52" s="17"/>
      <c r="I52" s="17"/>
      <c r="J52" s="18"/>
      <c r="K52" s="67">
        <v>10.0</v>
      </c>
      <c r="L52" s="17"/>
      <c r="M52" s="17"/>
      <c r="N52" s="18"/>
      <c r="O52" s="66"/>
      <c r="P52" s="17"/>
      <c r="Q52" s="18"/>
      <c r="R52" s="66"/>
      <c r="S52" s="18"/>
      <c r="T52" s="66"/>
      <c r="U52" s="18"/>
      <c r="V52" s="66"/>
      <c r="W52" s="18"/>
      <c r="X52" s="64" t="s">
        <v>160</v>
      </c>
      <c r="Y52" s="63" t="s">
        <v>161</v>
      </c>
    </row>
    <row r="53" ht="45.0" customHeight="1">
      <c r="A53" s="58">
        <v>3.0</v>
      </c>
      <c r="B53" s="46" t="s">
        <v>133</v>
      </c>
      <c r="C53" s="47" t="s">
        <v>162</v>
      </c>
      <c r="D53" s="17"/>
      <c r="E53" s="17"/>
      <c r="F53" s="18"/>
      <c r="G53" s="66" t="str">
        <f>G70</f>
        <v>CHARACTER VARYING</v>
      </c>
      <c r="H53" s="17"/>
      <c r="I53" s="17"/>
      <c r="J53" s="18"/>
      <c r="K53" s="67">
        <v>15.0</v>
      </c>
      <c r="L53" s="17"/>
      <c r="M53" s="17"/>
      <c r="N53" s="18"/>
      <c r="O53" s="66"/>
      <c r="P53" s="17"/>
      <c r="Q53" s="18"/>
      <c r="R53" s="66"/>
      <c r="S53" s="18"/>
      <c r="T53" s="66"/>
      <c r="U53" s="18"/>
      <c r="V53" s="66"/>
      <c r="W53" s="18"/>
      <c r="X53" s="62"/>
      <c r="Y53" s="63" t="s">
        <v>163</v>
      </c>
    </row>
    <row r="54" ht="45.0" customHeight="1">
      <c r="A54" s="58">
        <v>4.0</v>
      </c>
      <c r="B54" s="46" t="s">
        <v>150</v>
      </c>
      <c r="C54" s="47" t="s">
        <v>164</v>
      </c>
      <c r="D54" s="17"/>
      <c r="E54" s="17"/>
      <c r="F54" s="18"/>
      <c r="G54" s="66" t="str">
        <f>G70</f>
        <v>CHARACTER VARYING</v>
      </c>
      <c r="H54" s="17"/>
      <c r="I54" s="17"/>
      <c r="J54" s="18"/>
      <c r="K54" s="67">
        <v>10.0</v>
      </c>
      <c r="L54" s="17"/>
      <c r="M54" s="17"/>
      <c r="N54" s="18"/>
      <c r="O54" s="67" t="s">
        <v>130</v>
      </c>
      <c r="P54" s="17"/>
      <c r="Q54" s="18"/>
      <c r="R54" s="66"/>
      <c r="S54" s="18"/>
      <c r="T54" s="67" t="s">
        <v>131</v>
      </c>
      <c r="U54" s="18"/>
      <c r="V54" s="66"/>
      <c r="W54" s="18"/>
      <c r="X54" s="62"/>
      <c r="Y54" s="63" t="s">
        <v>165</v>
      </c>
    </row>
    <row r="55" ht="45.0" customHeight="1">
      <c r="A55" s="37"/>
    </row>
    <row r="56" ht="45.0" customHeight="1">
      <c r="A56" s="53">
        <f>A8</f>
        <v>5</v>
      </c>
      <c r="B56" s="54" t="s">
        <v>116</v>
      </c>
      <c r="C56" s="40" t="str">
        <f>B8</f>
        <v>habitacion</v>
      </c>
      <c r="D56" s="17"/>
      <c r="E56" s="17"/>
      <c r="F56" s="18"/>
      <c r="G56" s="55" t="s">
        <v>117</v>
      </c>
      <c r="H56" s="17"/>
      <c r="I56" s="17"/>
      <c r="J56" s="18"/>
      <c r="K56" s="35" t="str">
        <f>F8</f>
        <v>Registra las habitaciones disponibles en el hospital</v>
      </c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8"/>
      <c r="X56" s="56" t="s">
        <v>118</v>
      </c>
      <c r="Y56" s="43" t="str">
        <f>Y68</f>
        <v>002_agregar_columna_check</v>
      </c>
    </row>
    <row r="57" ht="45.0" customHeight="1">
      <c r="A57" s="56" t="s">
        <v>4</v>
      </c>
      <c r="B57" s="56" t="s">
        <v>119</v>
      </c>
      <c r="C57" s="54" t="s">
        <v>120</v>
      </c>
      <c r="D57" s="17"/>
      <c r="E57" s="17"/>
      <c r="F57" s="18"/>
      <c r="G57" s="55" t="s">
        <v>121</v>
      </c>
      <c r="H57" s="17"/>
      <c r="I57" s="17"/>
      <c r="J57" s="18"/>
      <c r="K57" s="54" t="s">
        <v>122</v>
      </c>
      <c r="L57" s="17"/>
      <c r="M57" s="17"/>
      <c r="N57" s="18"/>
      <c r="O57" s="54" t="s">
        <v>123</v>
      </c>
      <c r="P57" s="17"/>
      <c r="Q57" s="18"/>
      <c r="R57" s="54" t="s">
        <v>124</v>
      </c>
      <c r="S57" s="18"/>
      <c r="T57" s="54" t="s">
        <v>125</v>
      </c>
      <c r="U57" s="18"/>
      <c r="V57" s="54" t="s">
        <v>126</v>
      </c>
      <c r="W57" s="18"/>
      <c r="X57" s="55" t="s">
        <v>127</v>
      </c>
      <c r="Y57" s="57" t="s">
        <v>64</v>
      </c>
    </row>
    <row r="58" ht="45.0" customHeight="1">
      <c r="A58" s="58">
        <v>1.0</v>
      </c>
      <c r="B58" s="46" t="s">
        <v>166</v>
      </c>
      <c r="C58" s="47" t="s">
        <v>167</v>
      </c>
      <c r="D58" s="17"/>
      <c r="E58" s="17"/>
      <c r="F58" s="18"/>
      <c r="G58" s="66" t="str">
        <f>G70</f>
        <v>CHARACTER VARYING</v>
      </c>
      <c r="H58" s="17"/>
      <c r="I58" s="17"/>
      <c r="J58" s="18"/>
      <c r="K58" s="67">
        <v>10.0</v>
      </c>
      <c r="L58" s="17"/>
      <c r="M58" s="17"/>
      <c r="N58" s="18"/>
      <c r="O58" s="67" t="s">
        <v>130</v>
      </c>
      <c r="P58" s="17"/>
      <c r="Q58" s="18"/>
      <c r="R58" s="67" t="s">
        <v>131</v>
      </c>
      <c r="S58" s="18"/>
      <c r="T58" s="66"/>
      <c r="U58" s="18"/>
      <c r="V58" s="66"/>
      <c r="W58" s="18"/>
      <c r="X58" s="62"/>
      <c r="Y58" s="63" t="s">
        <v>132</v>
      </c>
    </row>
    <row r="59" ht="45.0" customHeight="1">
      <c r="A59" s="58">
        <v>2.0</v>
      </c>
      <c r="B59" s="46" t="s">
        <v>157</v>
      </c>
      <c r="C59" s="47" t="s">
        <v>168</v>
      </c>
      <c r="D59" s="17"/>
      <c r="E59" s="17"/>
      <c r="F59" s="18"/>
      <c r="G59" s="66" t="str">
        <f>G52</f>
        <v>INTEGER</v>
      </c>
      <c r="H59" s="17"/>
      <c r="I59" s="17"/>
      <c r="J59" s="18"/>
      <c r="K59" s="67">
        <v>10.0</v>
      </c>
      <c r="L59" s="17"/>
      <c r="M59" s="17"/>
      <c r="N59" s="18"/>
      <c r="O59" s="66"/>
      <c r="P59" s="17"/>
      <c r="Q59" s="18"/>
      <c r="R59" s="66"/>
      <c r="S59" s="18"/>
      <c r="T59" s="66"/>
      <c r="U59" s="18"/>
      <c r="V59" s="66"/>
      <c r="W59" s="18"/>
      <c r="X59" s="62" t="str">
        <f>X52</f>
        <v>numero &gt; 0</v>
      </c>
      <c r="Y59" s="63" t="s">
        <v>161</v>
      </c>
    </row>
    <row r="60" ht="45.0" customHeight="1">
      <c r="A60" s="58">
        <v>3.0</v>
      </c>
      <c r="B60" s="46" t="s">
        <v>155</v>
      </c>
      <c r="C60" s="47" t="s">
        <v>169</v>
      </c>
      <c r="D60" s="17"/>
      <c r="E60" s="17"/>
      <c r="F60" s="18"/>
      <c r="G60" s="66" t="str">
        <f>G70</f>
        <v>CHARACTER VARYING</v>
      </c>
      <c r="H60" s="17"/>
      <c r="I60" s="17"/>
      <c r="J60" s="18"/>
      <c r="K60" s="67">
        <v>10.0</v>
      </c>
      <c r="L60" s="17"/>
      <c r="M60" s="17"/>
      <c r="N60" s="18"/>
      <c r="O60" s="67" t="s">
        <v>130</v>
      </c>
      <c r="P60" s="17"/>
      <c r="Q60" s="18"/>
      <c r="R60" s="66"/>
      <c r="S60" s="18"/>
      <c r="T60" s="67" t="s">
        <v>131</v>
      </c>
      <c r="U60" s="18"/>
      <c r="V60" s="66"/>
      <c r="W60" s="18"/>
      <c r="X60" s="62"/>
      <c r="Y60" s="63" t="s">
        <v>170</v>
      </c>
    </row>
    <row r="61" ht="45.0" customHeight="1">
      <c r="A61" s="37"/>
    </row>
    <row r="62" ht="45.0" customHeight="1">
      <c r="A62" s="53">
        <f>A9</f>
        <v>6</v>
      </c>
      <c r="B62" s="54" t="s">
        <v>116</v>
      </c>
      <c r="C62" s="40" t="str">
        <f>B9</f>
        <v>cama</v>
      </c>
      <c r="D62" s="17"/>
      <c r="E62" s="17"/>
      <c r="F62" s="18"/>
      <c r="G62" s="55" t="s">
        <v>117</v>
      </c>
      <c r="H62" s="17"/>
      <c r="I62" s="17"/>
      <c r="J62" s="18"/>
      <c r="K62" s="35" t="str">
        <f>F9</f>
        <v>Registra las camas disponibles en cada habitación</v>
      </c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8"/>
      <c r="X62" s="56" t="s">
        <v>118</v>
      </c>
      <c r="Y62" s="43" t="str">
        <f>Y68</f>
        <v>002_agregar_columna_check</v>
      </c>
    </row>
    <row r="63" ht="45.0" customHeight="1">
      <c r="A63" s="56" t="s">
        <v>4</v>
      </c>
      <c r="B63" s="56" t="s">
        <v>119</v>
      </c>
      <c r="C63" s="54" t="s">
        <v>120</v>
      </c>
      <c r="D63" s="17"/>
      <c r="E63" s="17"/>
      <c r="F63" s="18"/>
      <c r="G63" s="55" t="s">
        <v>121</v>
      </c>
      <c r="H63" s="17"/>
      <c r="I63" s="17"/>
      <c r="J63" s="18"/>
      <c r="K63" s="54" t="s">
        <v>122</v>
      </c>
      <c r="L63" s="17"/>
      <c r="M63" s="17"/>
      <c r="N63" s="18"/>
      <c r="O63" s="54" t="s">
        <v>123</v>
      </c>
      <c r="P63" s="17"/>
      <c r="Q63" s="18"/>
      <c r="R63" s="54" t="s">
        <v>124</v>
      </c>
      <c r="S63" s="18"/>
      <c r="T63" s="54" t="s">
        <v>125</v>
      </c>
      <c r="U63" s="18"/>
      <c r="V63" s="54" t="s">
        <v>126</v>
      </c>
      <c r="W63" s="18"/>
      <c r="X63" s="55" t="s">
        <v>127</v>
      </c>
      <c r="Y63" s="57" t="s">
        <v>64</v>
      </c>
    </row>
    <row r="64" ht="45.0" customHeight="1">
      <c r="A64" s="58">
        <v>1.0</v>
      </c>
      <c r="B64" s="46" t="s">
        <v>171</v>
      </c>
      <c r="C64" s="47" t="s">
        <v>172</v>
      </c>
      <c r="D64" s="17"/>
      <c r="E64" s="17"/>
      <c r="F64" s="18"/>
      <c r="G64" s="66" t="s">
        <v>173</v>
      </c>
      <c r="H64" s="17"/>
      <c r="I64" s="17"/>
      <c r="J64" s="18"/>
      <c r="K64" s="67">
        <v>10.0</v>
      </c>
      <c r="L64" s="17"/>
      <c r="M64" s="17"/>
      <c r="N64" s="18"/>
      <c r="O64" s="67" t="s">
        <v>130</v>
      </c>
      <c r="P64" s="17"/>
      <c r="Q64" s="18"/>
      <c r="R64" s="67" t="s">
        <v>131</v>
      </c>
      <c r="S64" s="18"/>
      <c r="T64" s="66"/>
      <c r="U64" s="18"/>
      <c r="V64" s="66"/>
      <c r="W64" s="18"/>
      <c r="X64" s="62"/>
      <c r="Y64" s="63" t="s">
        <v>132</v>
      </c>
    </row>
    <row r="65" ht="45.0" customHeight="1">
      <c r="A65" s="58">
        <v>2.0</v>
      </c>
      <c r="B65" s="46" t="s">
        <v>157</v>
      </c>
      <c r="C65" s="47" t="s">
        <v>174</v>
      </c>
      <c r="D65" s="17"/>
      <c r="E65" s="17"/>
      <c r="F65" s="18"/>
      <c r="G65" s="66" t="s">
        <v>159</v>
      </c>
      <c r="H65" s="17"/>
      <c r="I65" s="17"/>
      <c r="J65" s="18"/>
      <c r="K65" s="67">
        <v>5.0</v>
      </c>
      <c r="L65" s="17"/>
      <c r="M65" s="17"/>
      <c r="N65" s="18"/>
      <c r="O65" s="66"/>
      <c r="P65" s="17"/>
      <c r="Q65" s="18"/>
      <c r="R65" s="66"/>
      <c r="S65" s="18"/>
      <c r="T65" s="66"/>
      <c r="U65" s="18"/>
      <c r="V65" s="66"/>
      <c r="W65" s="18"/>
      <c r="X65" s="64" t="str">
        <f>X52</f>
        <v>numero &gt; 0</v>
      </c>
      <c r="Y65" s="63" t="s">
        <v>161</v>
      </c>
    </row>
    <row r="66" ht="45.0" customHeight="1">
      <c r="A66" s="58">
        <v>3.0</v>
      </c>
      <c r="B66" s="46" t="s">
        <v>166</v>
      </c>
      <c r="C66" s="47" t="s">
        <v>175</v>
      </c>
      <c r="D66" s="17"/>
      <c r="E66" s="17"/>
      <c r="F66" s="18"/>
      <c r="G66" s="66" t="s">
        <v>173</v>
      </c>
      <c r="H66" s="17"/>
      <c r="I66" s="17"/>
      <c r="J66" s="18"/>
      <c r="K66" s="67">
        <v>5.0</v>
      </c>
      <c r="L66" s="17"/>
      <c r="M66" s="17"/>
      <c r="N66" s="18"/>
      <c r="O66" s="67" t="s">
        <v>130</v>
      </c>
      <c r="P66" s="17"/>
      <c r="Q66" s="18"/>
      <c r="R66" s="66"/>
      <c r="S66" s="18"/>
      <c r="T66" s="67" t="s">
        <v>131</v>
      </c>
      <c r="U66" s="18"/>
      <c r="V66" s="66"/>
      <c r="W66" s="18"/>
      <c r="X66" s="62"/>
      <c r="Y66" s="63" t="s">
        <v>176</v>
      </c>
    </row>
    <row r="67" ht="45.0" customHeight="1"/>
    <row r="68" ht="45.0" customHeight="1">
      <c r="A68" s="38">
        <f>A10</f>
        <v>7</v>
      </c>
      <c r="B68" s="39" t="s">
        <v>116</v>
      </c>
      <c r="C68" s="40" t="str">
        <f>B10</f>
        <v>paciente</v>
      </c>
      <c r="D68" s="17"/>
      <c r="E68" s="17"/>
      <c r="F68" s="18"/>
      <c r="G68" s="41" t="s">
        <v>117</v>
      </c>
      <c r="H68" s="17"/>
      <c r="I68" s="17"/>
      <c r="J68" s="18"/>
      <c r="K68" s="35" t="str">
        <f>F10</f>
        <v>Registra información básica del paciente</v>
      </c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8"/>
      <c r="X68" s="42" t="s">
        <v>118</v>
      </c>
      <c r="Y68" s="43" t="s">
        <v>177</v>
      </c>
    </row>
    <row r="69" ht="45.0" customHeight="1">
      <c r="A69" s="42" t="s">
        <v>4</v>
      </c>
      <c r="B69" s="42" t="s">
        <v>119</v>
      </c>
      <c r="C69" s="39" t="s">
        <v>120</v>
      </c>
      <c r="D69" s="17"/>
      <c r="E69" s="17"/>
      <c r="F69" s="18"/>
      <c r="G69" s="41" t="s">
        <v>121</v>
      </c>
      <c r="H69" s="17"/>
      <c r="I69" s="17"/>
      <c r="J69" s="18"/>
      <c r="K69" s="39" t="s">
        <v>122</v>
      </c>
      <c r="L69" s="17"/>
      <c r="M69" s="17"/>
      <c r="N69" s="18"/>
      <c r="O69" s="39" t="s">
        <v>123</v>
      </c>
      <c r="P69" s="17"/>
      <c r="Q69" s="18"/>
      <c r="R69" s="39" t="s">
        <v>124</v>
      </c>
      <c r="S69" s="18"/>
      <c r="T69" s="39" t="s">
        <v>125</v>
      </c>
      <c r="U69" s="18"/>
      <c r="V69" s="39" t="s">
        <v>126</v>
      </c>
      <c r="W69" s="18"/>
      <c r="X69" s="41" t="s">
        <v>127</v>
      </c>
      <c r="Y69" s="44" t="s">
        <v>64</v>
      </c>
    </row>
    <row r="70" ht="45.0" customHeight="1">
      <c r="A70" s="45">
        <v>1.0</v>
      </c>
      <c r="B70" s="46" t="s">
        <v>178</v>
      </c>
      <c r="C70" s="47" t="s">
        <v>179</v>
      </c>
      <c r="D70" s="17"/>
      <c r="E70" s="17"/>
      <c r="F70" s="18"/>
      <c r="G70" s="48" t="s">
        <v>173</v>
      </c>
      <c r="H70" s="17"/>
      <c r="I70" s="17"/>
      <c r="J70" s="18"/>
      <c r="K70" s="49">
        <v>20.0</v>
      </c>
      <c r="L70" s="17"/>
      <c r="M70" s="17"/>
      <c r="N70" s="18"/>
      <c r="O70" s="49" t="s">
        <v>130</v>
      </c>
      <c r="P70" s="17"/>
      <c r="Q70" s="18"/>
      <c r="R70" s="49" t="s">
        <v>131</v>
      </c>
      <c r="S70" s="18"/>
      <c r="T70" s="50"/>
      <c r="U70" s="18"/>
      <c r="V70" s="50"/>
      <c r="W70" s="18"/>
      <c r="X70" s="51"/>
      <c r="Y70" s="52" t="s">
        <v>132</v>
      </c>
    </row>
    <row r="71" ht="45.0" customHeight="1">
      <c r="A71" s="45">
        <v>2.0</v>
      </c>
      <c r="B71" s="46" t="s">
        <v>133</v>
      </c>
      <c r="C71" s="47" t="s">
        <v>180</v>
      </c>
      <c r="D71" s="17"/>
      <c r="E71" s="17"/>
      <c r="F71" s="18"/>
      <c r="G71" s="48" t="str">
        <f>G70</f>
        <v>CHARACTER VARYING</v>
      </c>
      <c r="H71" s="17"/>
      <c r="I71" s="17"/>
      <c r="J71" s="18"/>
      <c r="K71" s="49">
        <v>50.0</v>
      </c>
      <c r="L71" s="17"/>
      <c r="M71" s="17"/>
      <c r="N71" s="18"/>
      <c r="O71" s="49" t="s">
        <v>130</v>
      </c>
      <c r="P71" s="17"/>
      <c r="Q71" s="18"/>
      <c r="R71" s="50"/>
      <c r="S71" s="18"/>
      <c r="T71" s="50"/>
      <c r="U71" s="18"/>
      <c r="V71" s="50"/>
      <c r="W71" s="18"/>
      <c r="X71" s="68" t="s">
        <v>181</v>
      </c>
      <c r="Y71" s="52" t="s">
        <v>132</v>
      </c>
    </row>
    <row r="72" ht="45.0" customHeight="1">
      <c r="A72" s="45">
        <v>3.0</v>
      </c>
      <c r="B72" s="46" t="s">
        <v>182</v>
      </c>
      <c r="C72" s="47" t="s">
        <v>183</v>
      </c>
      <c r="D72" s="17"/>
      <c r="E72" s="17"/>
      <c r="F72" s="18"/>
      <c r="G72" s="48" t="str">
        <f>G70</f>
        <v>CHARACTER VARYING</v>
      </c>
      <c r="H72" s="17"/>
      <c r="I72" s="17"/>
      <c r="J72" s="18"/>
      <c r="K72" s="49">
        <v>50.0</v>
      </c>
      <c r="L72" s="17"/>
      <c r="M72" s="17"/>
      <c r="N72" s="18"/>
      <c r="O72" s="49" t="s">
        <v>130</v>
      </c>
      <c r="P72" s="17"/>
      <c r="Q72" s="18"/>
      <c r="R72" s="50"/>
      <c r="S72" s="18"/>
      <c r="T72" s="50"/>
      <c r="U72" s="18"/>
      <c r="V72" s="50"/>
      <c r="W72" s="18"/>
      <c r="X72" s="68" t="s">
        <v>184</v>
      </c>
      <c r="Y72" s="52" t="s">
        <v>132</v>
      </c>
    </row>
    <row r="73" ht="45.0" customHeight="1">
      <c r="A73" s="45">
        <v>4.0</v>
      </c>
      <c r="B73" s="46" t="s">
        <v>185</v>
      </c>
      <c r="C73" s="47" t="s">
        <v>186</v>
      </c>
      <c r="D73" s="17"/>
      <c r="E73" s="17"/>
      <c r="F73" s="18"/>
      <c r="G73" s="48" t="s">
        <v>187</v>
      </c>
      <c r="H73" s="17"/>
      <c r="I73" s="17"/>
      <c r="J73" s="18"/>
      <c r="K73" s="49">
        <v>20.0</v>
      </c>
      <c r="L73" s="17"/>
      <c r="M73" s="17"/>
      <c r="N73" s="18"/>
      <c r="O73" s="49" t="s">
        <v>130</v>
      </c>
      <c r="P73" s="17"/>
      <c r="Q73" s="18"/>
      <c r="R73" s="50"/>
      <c r="S73" s="18"/>
      <c r="T73" s="50"/>
      <c r="U73" s="18"/>
      <c r="V73" s="50"/>
      <c r="W73" s="18"/>
      <c r="X73" s="68" t="s">
        <v>188</v>
      </c>
      <c r="Y73" s="52" t="s">
        <v>189</v>
      </c>
    </row>
    <row r="74" ht="45.0" customHeight="1">
      <c r="A74" s="45">
        <v>5.0</v>
      </c>
      <c r="B74" s="46" t="s">
        <v>190</v>
      </c>
      <c r="C74" s="47" t="s">
        <v>191</v>
      </c>
      <c r="D74" s="17"/>
      <c r="E74" s="17"/>
      <c r="F74" s="18"/>
      <c r="G74" s="48" t="str">
        <f>G70</f>
        <v>CHARACTER VARYING</v>
      </c>
      <c r="H74" s="17"/>
      <c r="I74" s="17"/>
      <c r="J74" s="18"/>
      <c r="K74" s="49">
        <v>25.0</v>
      </c>
      <c r="L74" s="17"/>
      <c r="M74" s="17"/>
      <c r="N74" s="18"/>
      <c r="O74" s="49"/>
      <c r="P74" s="17"/>
      <c r="Q74" s="18"/>
      <c r="R74" s="50"/>
      <c r="S74" s="18"/>
      <c r="T74" s="50"/>
      <c r="U74" s="18"/>
      <c r="V74" s="50"/>
      <c r="W74" s="18"/>
      <c r="X74" s="51"/>
      <c r="Y74" s="52" t="s">
        <v>163</v>
      </c>
    </row>
    <row r="75" ht="45.0" customHeight="1">
      <c r="A75" s="45">
        <v>6.0</v>
      </c>
      <c r="B75" s="46" t="s">
        <v>192</v>
      </c>
      <c r="C75" s="47" t="s">
        <v>193</v>
      </c>
      <c r="D75" s="17"/>
      <c r="E75" s="17"/>
      <c r="F75" s="18"/>
      <c r="G75" s="48" t="str">
        <f>G70</f>
        <v>CHARACTER VARYING</v>
      </c>
      <c r="H75" s="17"/>
      <c r="I75" s="17"/>
      <c r="J75" s="18"/>
      <c r="K75" s="49">
        <v>25.0</v>
      </c>
      <c r="L75" s="17"/>
      <c r="M75" s="17"/>
      <c r="N75" s="18"/>
      <c r="O75" s="50"/>
      <c r="P75" s="17"/>
      <c r="Q75" s="18"/>
      <c r="R75" s="50"/>
      <c r="S75" s="18"/>
      <c r="T75" s="50"/>
      <c r="U75" s="18"/>
      <c r="V75" s="50"/>
      <c r="W75" s="18"/>
      <c r="X75" s="51"/>
      <c r="Y75" s="52" t="s">
        <v>163</v>
      </c>
    </row>
    <row r="76" ht="45.0" customHeight="1">
      <c r="A76" s="69">
        <v>7.0</v>
      </c>
      <c r="B76" s="46" t="s">
        <v>128</v>
      </c>
      <c r="C76" s="47" t="s">
        <v>194</v>
      </c>
      <c r="D76" s="17"/>
      <c r="E76" s="17"/>
      <c r="F76" s="18"/>
      <c r="G76" s="48" t="str">
        <f>G70</f>
        <v>CHARACTER VARYING</v>
      </c>
      <c r="H76" s="17"/>
      <c r="I76" s="17"/>
      <c r="J76" s="18"/>
      <c r="K76" s="49">
        <v>25.0</v>
      </c>
      <c r="L76" s="17"/>
      <c r="M76" s="17"/>
      <c r="N76" s="18"/>
      <c r="O76" s="49" t="s">
        <v>130</v>
      </c>
      <c r="P76" s="17"/>
      <c r="Q76" s="18"/>
      <c r="R76" s="49"/>
      <c r="S76" s="18"/>
      <c r="T76" s="49" t="s">
        <v>131</v>
      </c>
      <c r="U76" s="18"/>
      <c r="V76" s="50"/>
      <c r="W76" s="18"/>
      <c r="X76" s="51"/>
      <c r="Y76" s="52" t="s">
        <v>195</v>
      </c>
    </row>
    <row r="77" ht="45.0" customHeight="1">
      <c r="A77" s="37"/>
    </row>
    <row r="78" ht="45.0" customHeight="1">
      <c r="A78" s="53">
        <f>A11</f>
        <v>8</v>
      </c>
      <c r="B78" s="54" t="s">
        <v>116</v>
      </c>
      <c r="C78" s="40" t="str">
        <f>B11</f>
        <v>familiar</v>
      </c>
      <c r="D78" s="17"/>
      <c r="E78" s="17"/>
      <c r="F78" s="18"/>
      <c r="G78" s="55" t="s">
        <v>117</v>
      </c>
      <c r="H78" s="17"/>
      <c r="I78" s="17"/>
      <c r="J78" s="18"/>
      <c r="K78" s="35" t="str">
        <f>F11</f>
        <v>Identifica familiares de los pacientes</v>
      </c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8"/>
      <c r="X78" s="56" t="s">
        <v>118</v>
      </c>
      <c r="Y78" s="43" t="str">
        <f>Y68</f>
        <v>002_agregar_columna_check</v>
      </c>
    </row>
    <row r="79" ht="45.0" customHeight="1">
      <c r="A79" s="56" t="s">
        <v>4</v>
      </c>
      <c r="B79" s="56" t="s">
        <v>119</v>
      </c>
      <c r="C79" s="54" t="s">
        <v>120</v>
      </c>
      <c r="D79" s="17"/>
      <c r="E79" s="17"/>
      <c r="F79" s="18"/>
      <c r="G79" s="55" t="s">
        <v>121</v>
      </c>
      <c r="H79" s="17"/>
      <c r="I79" s="17"/>
      <c r="J79" s="18"/>
      <c r="K79" s="54" t="s">
        <v>122</v>
      </c>
      <c r="L79" s="17"/>
      <c r="M79" s="17"/>
      <c r="N79" s="18"/>
      <c r="O79" s="54" t="s">
        <v>123</v>
      </c>
      <c r="P79" s="17"/>
      <c r="Q79" s="18"/>
      <c r="R79" s="54" t="s">
        <v>124</v>
      </c>
      <c r="S79" s="18"/>
      <c r="T79" s="54" t="s">
        <v>125</v>
      </c>
      <c r="U79" s="18"/>
      <c r="V79" s="54" t="s">
        <v>126</v>
      </c>
      <c r="W79" s="18"/>
      <c r="X79" s="55" t="s">
        <v>127</v>
      </c>
      <c r="Y79" s="57" t="s">
        <v>64</v>
      </c>
    </row>
    <row r="80" ht="45.0" customHeight="1">
      <c r="A80" s="58">
        <v>1.0</v>
      </c>
      <c r="B80" s="46" t="s">
        <v>196</v>
      </c>
      <c r="C80" s="47" t="s">
        <v>197</v>
      </c>
      <c r="D80" s="17"/>
      <c r="E80" s="17"/>
      <c r="F80" s="18"/>
      <c r="G80" s="59" t="s">
        <v>173</v>
      </c>
      <c r="H80" s="17"/>
      <c r="I80" s="17"/>
      <c r="J80" s="18"/>
      <c r="K80" s="60">
        <v>20.0</v>
      </c>
      <c r="L80" s="17"/>
      <c r="M80" s="17"/>
      <c r="N80" s="18"/>
      <c r="O80" s="60" t="s">
        <v>130</v>
      </c>
      <c r="P80" s="17"/>
      <c r="Q80" s="18"/>
      <c r="R80" s="60" t="s">
        <v>131</v>
      </c>
      <c r="S80" s="18"/>
      <c r="T80" s="60"/>
      <c r="U80" s="18"/>
      <c r="V80" s="61"/>
      <c r="W80" s="18"/>
      <c r="X80" s="62"/>
      <c r="Y80" s="63" t="s">
        <v>132</v>
      </c>
    </row>
    <row r="81" ht="45.0" customHeight="1">
      <c r="A81" s="58">
        <v>2.0</v>
      </c>
      <c r="B81" s="46" t="s">
        <v>133</v>
      </c>
      <c r="C81" s="47" t="s">
        <v>198</v>
      </c>
      <c r="D81" s="17"/>
      <c r="E81" s="17"/>
      <c r="F81" s="18"/>
      <c r="G81" s="59" t="s">
        <v>173</v>
      </c>
      <c r="H81" s="17"/>
      <c r="I81" s="17"/>
      <c r="J81" s="18"/>
      <c r="K81" s="60">
        <v>40.0</v>
      </c>
      <c r="L81" s="17"/>
      <c r="M81" s="17"/>
      <c r="N81" s="18"/>
      <c r="O81" s="60"/>
      <c r="P81" s="17"/>
      <c r="Q81" s="18"/>
      <c r="R81" s="60"/>
      <c r="S81" s="18"/>
      <c r="T81" s="60"/>
      <c r="U81" s="18"/>
      <c r="V81" s="61"/>
      <c r="W81" s="18"/>
      <c r="X81" s="62" t="str">
        <f t="shared" ref="X81:X82" si="2">X71</f>
        <v>nombre &lt;&gt; ''</v>
      </c>
      <c r="Y81" s="63" t="s">
        <v>132</v>
      </c>
    </row>
    <row r="82" ht="45.0" customHeight="1">
      <c r="A82" s="58">
        <v>3.0</v>
      </c>
      <c r="B82" s="46" t="s">
        <v>182</v>
      </c>
      <c r="C82" s="47" t="s">
        <v>199</v>
      </c>
      <c r="D82" s="17"/>
      <c r="E82" s="17"/>
      <c r="F82" s="18"/>
      <c r="G82" s="59" t="s">
        <v>173</v>
      </c>
      <c r="H82" s="17"/>
      <c r="I82" s="17"/>
      <c r="J82" s="18"/>
      <c r="K82" s="60">
        <v>40.0</v>
      </c>
      <c r="L82" s="17"/>
      <c r="M82" s="17"/>
      <c r="N82" s="18"/>
      <c r="O82" s="60"/>
      <c r="P82" s="17"/>
      <c r="Q82" s="18"/>
      <c r="R82" s="60"/>
      <c r="S82" s="18"/>
      <c r="T82" s="60"/>
      <c r="U82" s="18"/>
      <c r="V82" s="61"/>
      <c r="W82" s="18"/>
      <c r="X82" s="62" t="str">
        <f t="shared" si="2"/>
        <v>apellido &lt;&gt; ''</v>
      </c>
      <c r="Y82" s="63" t="s">
        <v>132</v>
      </c>
    </row>
    <row r="83" ht="45.0" customHeight="1">
      <c r="A83" s="58">
        <v>4.0</v>
      </c>
      <c r="B83" s="46" t="s">
        <v>200</v>
      </c>
      <c r="C83" s="47" t="s">
        <v>201</v>
      </c>
      <c r="D83" s="17"/>
      <c r="E83" s="17"/>
      <c r="F83" s="18"/>
      <c r="G83" s="59" t="s">
        <v>173</v>
      </c>
      <c r="H83" s="17"/>
      <c r="I83" s="17"/>
      <c r="J83" s="18"/>
      <c r="K83" s="60">
        <v>15.0</v>
      </c>
      <c r="L83" s="17"/>
      <c r="M83" s="17"/>
      <c r="N83" s="18"/>
      <c r="O83" s="60"/>
      <c r="P83" s="17"/>
      <c r="Q83" s="18"/>
      <c r="R83" s="60"/>
      <c r="S83" s="18"/>
      <c r="T83" s="60"/>
      <c r="U83" s="18"/>
      <c r="V83" s="61"/>
      <c r="W83" s="18"/>
      <c r="X83" s="64" t="s">
        <v>202</v>
      </c>
      <c r="Y83" s="63" t="s">
        <v>203</v>
      </c>
    </row>
    <row r="84" ht="45.0" customHeight="1">
      <c r="A84" s="58">
        <v>5.0</v>
      </c>
      <c r="B84" s="46" t="s">
        <v>178</v>
      </c>
      <c r="C84" s="47" t="s">
        <v>204</v>
      </c>
      <c r="D84" s="17"/>
      <c r="E84" s="17"/>
      <c r="F84" s="18"/>
      <c r="G84" s="59" t="s">
        <v>173</v>
      </c>
      <c r="H84" s="17"/>
      <c r="I84" s="17"/>
      <c r="J84" s="18"/>
      <c r="K84" s="60">
        <v>20.0</v>
      </c>
      <c r="L84" s="17"/>
      <c r="M84" s="17"/>
      <c r="N84" s="18"/>
      <c r="O84" s="60"/>
      <c r="P84" s="17"/>
      <c r="Q84" s="18"/>
      <c r="R84" s="60"/>
      <c r="S84" s="18"/>
      <c r="T84" s="60" t="s">
        <v>131</v>
      </c>
      <c r="U84" s="18"/>
      <c r="V84" s="61"/>
      <c r="W84" s="18"/>
      <c r="X84" s="62"/>
      <c r="Y84" s="63" t="s">
        <v>205</v>
      </c>
    </row>
    <row r="85" ht="45.0" customHeight="1">
      <c r="A85" s="37"/>
    </row>
    <row r="86" ht="45.0" customHeight="1">
      <c r="A86" s="53">
        <f>A12</f>
        <v>9</v>
      </c>
      <c r="B86" s="54" t="s">
        <v>116</v>
      </c>
      <c r="C86" s="40" t="str">
        <f>B12</f>
        <v>especialidad</v>
      </c>
      <c r="D86" s="17"/>
      <c r="E86" s="17"/>
      <c r="F86" s="18"/>
      <c r="G86" s="55" t="s">
        <v>117</v>
      </c>
      <c r="H86" s="17"/>
      <c r="I86" s="17"/>
      <c r="J86" s="18"/>
      <c r="K86" s="35" t="str">
        <f>F12</f>
        <v>Contiene la información de las áreas de especialidad médica</v>
      </c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8"/>
      <c r="X86" s="56" t="s">
        <v>118</v>
      </c>
      <c r="Y86" s="43" t="str">
        <f>Y68</f>
        <v>002_agregar_columna_check</v>
      </c>
    </row>
    <row r="87" ht="45.0" customHeight="1">
      <c r="A87" s="56" t="s">
        <v>4</v>
      </c>
      <c r="B87" s="56" t="s">
        <v>119</v>
      </c>
      <c r="C87" s="54" t="s">
        <v>120</v>
      </c>
      <c r="D87" s="17"/>
      <c r="E87" s="17"/>
      <c r="F87" s="18"/>
      <c r="G87" s="55" t="s">
        <v>121</v>
      </c>
      <c r="H87" s="17"/>
      <c r="I87" s="17"/>
      <c r="J87" s="18"/>
      <c r="K87" s="54" t="s">
        <v>122</v>
      </c>
      <c r="L87" s="17"/>
      <c r="M87" s="17"/>
      <c r="N87" s="18"/>
      <c r="O87" s="54" t="s">
        <v>123</v>
      </c>
      <c r="P87" s="17"/>
      <c r="Q87" s="18"/>
      <c r="R87" s="54" t="s">
        <v>124</v>
      </c>
      <c r="S87" s="18"/>
      <c r="T87" s="54" t="s">
        <v>125</v>
      </c>
      <c r="U87" s="18"/>
      <c r="V87" s="54" t="s">
        <v>126</v>
      </c>
      <c r="W87" s="18"/>
      <c r="X87" s="55" t="s">
        <v>127</v>
      </c>
      <c r="Y87" s="57" t="s">
        <v>64</v>
      </c>
    </row>
    <row r="88" ht="45.0" customHeight="1">
      <c r="A88" s="58">
        <v>1.0</v>
      </c>
      <c r="B88" s="46" t="s">
        <v>206</v>
      </c>
      <c r="C88" s="47" t="s">
        <v>207</v>
      </c>
      <c r="D88" s="17"/>
      <c r="E88" s="17"/>
      <c r="F88" s="18"/>
      <c r="G88" s="59" t="s">
        <v>173</v>
      </c>
      <c r="H88" s="17"/>
      <c r="I88" s="17"/>
      <c r="J88" s="18"/>
      <c r="K88" s="60">
        <v>10.0</v>
      </c>
      <c r="L88" s="17"/>
      <c r="M88" s="17"/>
      <c r="N88" s="18"/>
      <c r="O88" s="60" t="s">
        <v>130</v>
      </c>
      <c r="P88" s="17"/>
      <c r="Q88" s="18"/>
      <c r="R88" s="60" t="s">
        <v>131</v>
      </c>
      <c r="S88" s="18"/>
      <c r="T88" s="60"/>
      <c r="U88" s="18"/>
      <c r="V88" s="61"/>
      <c r="W88" s="18"/>
      <c r="X88" s="62"/>
      <c r="Y88" s="63" t="s">
        <v>132</v>
      </c>
    </row>
    <row r="89" ht="45.0" customHeight="1">
      <c r="A89" s="58">
        <v>2.0</v>
      </c>
      <c r="B89" s="46" t="s">
        <v>133</v>
      </c>
      <c r="C89" s="47" t="s">
        <v>208</v>
      </c>
      <c r="D89" s="17"/>
      <c r="E89" s="17"/>
      <c r="F89" s="18"/>
      <c r="G89" s="59" t="s">
        <v>173</v>
      </c>
      <c r="H89" s="17"/>
      <c r="I89" s="17"/>
      <c r="J89" s="18"/>
      <c r="K89" s="60">
        <v>20.0</v>
      </c>
      <c r="L89" s="17"/>
      <c r="M89" s="17"/>
      <c r="N89" s="18"/>
      <c r="O89" s="60"/>
      <c r="P89" s="17"/>
      <c r="Q89" s="18"/>
      <c r="R89" s="60"/>
      <c r="S89" s="18"/>
      <c r="T89" s="60"/>
      <c r="U89" s="18"/>
      <c r="V89" s="61"/>
      <c r="W89" s="18"/>
      <c r="X89" s="62" t="str">
        <f>X71</f>
        <v>nombre &lt;&gt; ''</v>
      </c>
      <c r="Y89" s="63" t="s">
        <v>135</v>
      </c>
    </row>
    <row r="90" ht="45.0" customHeight="1">
      <c r="A90" s="58">
        <v>3.0</v>
      </c>
      <c r="B90" s="46" t="s">
        <v>209</v>
      </c>
      <c r="C90" s="47" t="s">
        <v>210</v>
      </c>
      <c r="D90" s="17"/>
      <c r="E90" s="17"/>
      <c r="F90" s="18"/>
      <c r="G90" s="70" t="s">
        <v>211</v>
      </c>
      <c r="H90" s="17"/>
      <c r="I90" s="17"/>
      <c r="J90" s="18"/>
      <c r="K90" s="71">
        <v>150.0</v>
      </c>
      <c r="L90" s="17"/>
      <c r="M90" s="17"/>
      <c r="N90" s="18"/>
      <c r="O90" s="60"/>
      <c r="P90" s="17"/>
      <c r="Q90" s="18"/>
      <c r="R90" s="60"/>
      <c r="S90" s="18"/>
      <c r="T90" s="60"/>
      <c r="U90" s="18"/>
      <c r="V90" s="61"/>
      <c r="W90" s="18"/>
      <c r="X90" s="62"/>
      <c r="Y90" s="63" t="s">
        <v>163</v>
      </c>
    </row>
    <row r="91" ht="45.0" customHeight="1">
      <c r="A91" s="37"/>
    </row>
    <row r="92" ht="45.0" customHeight="1">
      <c r="A92" s="53">
        <f>A13</f>
        <v>10</v>
      </c>
      <c r="B92" s="54" t="s">
        <v>116</v>
      </c>
      <c r="C92" s="40" t="str">
        <f>B13</f>
        <v>medico</v>
      </c>
      <c r="D92" s="17"/>
      <c r="E92" s="17"/>
      <c r="F92" s="18"/>
      <c r="G92" s="55" t="s">
        <v>117</v>
      </c>
      <c r="H92" s="17"/>
      <c r="I92" s="17"/>
      <c r="J92" s="18"/>
      <c r="K92" s="35" t="str">
        <f>F13</f>
        <v>Registra la información del profesional que atiende a los pacientes</v>
      </c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8"/>
      <c r="X92" s="56" t="s">
        <v>118</v>
      </c>
      <c r="Y92" s="43" t="str">
        <f>Y68</f>
        <v>002_agregar_columna_check</v>
      </c>
    </row>
    <row r="93" ht="45.0" customHeight="1">
      <c r="A93" s="56" t="s">
        <v>4</v>
      </c>
      <c r="B93" s="56" t="s">
        <v>119</v>
      </c>
      <c r="C93" s="54" t="s">
        <v>120</v>
      </c>
      <c r="D93" s="17"/>
      <c r="E93" s="17"/>
      <c r="F93" s="18"/>
      <c r="G93" s="55" t="s">
        <v>121</v>
      </c>
      <c r="H93" s="17"/>
      <c r="I93" s="17"/>
      <c r="J93" s="18"/>
      <c r="K93" s="54" t="s">
        <v>122</v>
      </c>
      <c r="L93" s="17"/>
      <c r="M93" s="17"/>
      <c r="N93" s="18"/>
      <c r="O93" s="54" t="s">
        <v>123</v>
      </c>
      <c r="P93" s="17"/>
      <c r="Q93" s="18"/>
      <c r="R93" s="54" t="s">
        <v>124</v>
      </c>
      <c r="S93" s="18"/>
      <c r="T93" s="54" t="s">
        <v>125</v>
      </c>
      <c r="U93" s="18"/>
      <c r="V93" s="54" t="s">
        <v>126</v>
      </c>
      <c r="W93" s="18"/>
      <c r="X93" s="55" t="s">
        <v>127</v>
      </c>
      <c r="Y93" s="57" t="s">
        <v>64</v>
      </c>
    </row>
    <row r="94" ht="45.0" customHeight="1">
      <c r="A94" s="58">
        <v>1.0</v>
      </c>
      <c r="B94" s="46" t="s">
        <v>212</v>
      </c>
      <c r="C94" s="47" t="s">
        <v>213</v>
      </c>
      <c r="D94" s="17"/>
      <c r="E94" s="17"/>
      <c r="F94" s="18"/>
      <c r="G94" s="59" t="s">
        <v>173</v>
      </c>
      <c r="H94" s="17"/>
      <c r="I94" s="17"/>
      <c r="J94" s="18"/>
      <c r="K94" s="60">
        <v>20.0</v>
      </c>
      <c r="L94" s="17"/>
      <c r="M94" s="17"/>
      <c r="N94" s="18"/>
      <c r="O94" s="60" t="s">
        <v>130</v>
      </c>
      <c r="P94" s="17"/>
      <c r="Q94" s="18"/>
      <c r="R94" s="60" t="s">
        <v>131</v>
      </c>
      <c r="S94" s="18"/>
      <c r="T94" s="60"/>
      <c r="U94" s="18"/>
      <c r="V94" s="61"/>
      <c r="W94" s="18"/>
      <c r="X94" s="62"/>
      <c r="Y94" s="63" t="s">
        <v>132</v>
      </c>
    </row>
    <row r="95" ht="45.0" customHeight="1">
      <c r="A95" s="58">
        <v>2.0</v>
      </c>
      <c r="B95" s="46" t="s">
        <v>133</v>
      </c>
      <c r="C95" s="47" t="s">
        <v>214</v>
      </c>
      <c r="D95" s="17"/>
      <c r="E95" s="17"/>
      <c r="F95" s="18"/>
      <c r="G95" s="59" t="s">
        <v>173</v>
      </c>
      <c r="H95" s="17"/>
      <c r="I95" s="17"/>
      <c r="J95" s="18"/>
      <c r="K95" s="60">
        <v>40.0</v>
      </c>
      <c r="L95" s="17"/>
      <c r="M95" s="17"/>
      <c r="N95" s="18"/>
      <c r="O95" s="60"/>
      <c r="P95" s="17"/>
      <c r="Q95" s="18"/>
      <c r="R95" s="60"/>
      <c r="S95" s="18"/>
      <c r="T95" s="60"/>
      <c r="U95" s="18"/>
      <c r="V95" s="61"/>
      <c r="W95" s="18"/>
      <c r="X95" s="62" t="str">
        <f t="shared" ref="X95:X96" si="3">X71</f>
        <v>nombre &lt;&gt; ''</v>
      </c>
      <c r="Y95" s="63" t="s">
        <v>132</v>
      </c>
    </row>
    <row r="96" ht="45.0" customHeight="1">
      <c r="A96" s="58">
        <v>3.0</v>
      </c>
      <c r="B96" s="46" t="s">
        <v>182</v>
      </c>
      <c r="C96" s="47" t="s">
        <v>215</v>
      </c>
      <c r="D96" s="17"/>
      <c r="E96" s="17"/>
      <c r="F96" s="18"/>
      <c r="G96" s="59" t="s">
        <v>173</v>
      </c>
      <c r="H96" s="17"/>
      <c r="I96" s="17"/>
      <c r="J96" s="18"/>
      <c r="K96" s="60">
        <v>40.0</v>
      </c>
      <c r="L96" s="17"/>
      <c r="M96" s="17"/>
      <c r="N96" s="18"/>
      <c r="O96" s="60"/>
      <c r="P96" s="17"/>
      <c r="Q96" s="18"/>
      <c r="R96" s="60"/>
      <c r="S96" s="18"/>
      <c r="T96" s="60"/>
      <c r="U96" s="18"/>
      <c r="V96" s="61"/>
      <c r="W96" s="18"/>
      <c r="X96" s="62" t="str">
        <f t="shared" si="3"/>
        <v>apellido &lt;&gt; ''</v>
      </c>
      <c r="Y96" s="63" t="s">
        <v>132</v>
      </c>
    </row>
    <row r="97" ht="45.0" customHeight="1">
      <c r="A97" s="58">
        <v>4.0</v>
      </c>
      <c r="B97" s="46" t="s">
        <v>150</v>
      </c>
      <c r="C97" s="47" t="s">
        <v>164</v>
      </c>
      <c r="D97" s="17"/>
      <c r="E97" s="17"/>
      <c r="F97" s="18"/>
      <c r="G97" s="59" t="s">
        <v>173</v>
      </c>
      <c r="H97" s="17"/>
      <c r="I97" s="17"/>
      <c r="J97" s="18"/>
      <c r="K97" s="60">
        <v>20.0</v>
      </c>
      <c r="L97" s="17"/>
      <c r="M97" s="17"/>
      <c r="N97" s="18"/>
      <c r="O97" s="60" t="s">
        <v>130</v>
      </c>
      <c r="P97" s="17"/>
      <c r="Q97" s="18"/>
      <c r="R97" s="60"/>
      <c r="S97" s="18"/>
      <c r="T97" s="60" t="s">
        <v>131</v>
      </c>
      <c r="U97" s="18"/>
      <c r="V97" s="61"/>
      <c r="W97" s="18"/>
      <c r="X97" s="62"/>
      <c r="Y97" s="63" t="s">
        <v>165</v>
      </c>
    </row>
    <row r="98" ht="45.0" customHeight="1">
      <c r="A98" s="37"/>
    </row>
    <row r="99" ht="45.0" customHeight="1">
      <c r="A99" s="53">
        <f>A14</f>
        <v>11</v>
      </c>
      <c r="B99" s="54" t="s">
        <v>116</v>
      </c>
      <c r="C99" s="40" t="str">
        <f>B14</f>
        <v>medicamento</v>
      </c>
      <c r="D99" s="17"/>
      <c r="E99" s="17"/>
      <c r="F99" s="18"/>
      <c r="G99" s="55" t="s">
        <v>117</v>
      </c>
      <c r="H99" s="17"/>
      <c r="I99" s="17"/>
      <c r="J99" s="18"/>
      <c r="K99" s="35" t="str">
        <f>F14</f>
        <v>Registra los medicamentos disponibles y sus características</v>
      </c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8"/>
      <c r="X99" s="56" t="s">
        <v>118</v>
      </c>
      <c r="Y99" s="43" t="str">
        <f>Y68</f>
        <v>002_agregar_columna_check</v>
      </c>
    </row>
    <row r="100" ht="45.0" customHeight="1">
      <c r="A100" s="56" t="s">
        <v>4</v>
      </c>
      <c r="B100" s="56" t="s">
        <v>119</v>
      </c>
      <c r="C100" s="54" t="s">
        <v>120</v>
      </c>
      <c r="D100" s="17"/>
      <c r="E100" s="17"/>
      <c r="F100" s="18"/>
      <c r="G100" s="55" t="s">
        <v>121</v>
      </c>
      <c r="H100" s="17"/>
      <c r="I100" s="17"/>
      <c r="J100" s="18"/>
      <c r="K100" s="54" t="s">
        <v>122</v>
      </c>
      <c r="L100" s="17"/>
      <c r="M100" s="17"/>
      <c r="N100" s="18"/>
      <c r="O100" s="54" t="s">
        <v>123</v>
      </c>
      <c r="P100" s="17"/>
      <c r="Q100" s="18"/>
      <c r="R100" s="54" t="s">
        <v>124</v>
      </c>
      <c r="S100" s="18"/>
      <c r="T100" s="54" t="s">
        <v>125</v>
      </c>
      <c r="U100" s="18"/>
      <c r="V100" s="54" t="s">
        <v>126</v>
      </c>
      <c r="W100" s="18"/>
      <c r="X100" s="55" t="s">
        <v>127</v>
      </c>
      <c r="Y100" s="57" t="s">
        <v>64</v>
      </c>
    </row>
    <row r="101" ht="45.0" customHeight="1">
      <c r="A101" s="58">
        <v>1.0</v>
      </c>
      <c r="B101" s="46" t="s">
        <v>216</v>
      </c>
      <c r="C101" s="47" t="s">
        <v>217</v>
      </c>
      <c r="D101" s="17"/>
      <c r="E101" s="17"/>
      <c r="F101" s="18"/>
      <c r="G101" s="59" t="s">
        <v>173</v>
      </c>
      <c r="H101" s="17"/>
      <c r="I101" s="17"/>
      <c r="J101" s="18"/>
      <c r="K101" s="60">
        <v>20.0</v>
      </c>
      <c r="L101" s="17"/>
      <c r="M101" s="17"/>
      <c r="N101" s="18"/>
      <c r="O101" s="60" t="s">
        <v>130</v>
      </c>
      <c r="P101" s="17"/>
      <c r="Q101" s="18"/>
      <c r="R101" s="60" t="s">
        <v>131</v>
      </c>
      <c r="S101" s="18"/>
      <c r="T101" s="60"/>
      <c r="U101" s="18"/>
      <c r="V101" s="61"/>
      <c r="W101" s="18"/>
      <c r="X101" s="62"/>
      <c r="Y101" s="63" t="s">
        <v>132</v>
      </c>
    </row>
    <row r="102" ht="45.0" customHeight="1">
      <c r="A102" s="58">
        <v>2.0</v>
      </c>
      <c r="B102" s="46" t="s">
        <v>133</v>
      </c>
      <c r="C102" s="47" t="s">
        <v>218</v>
      </c>
      <c r="D102" s="17"/>
      <c r="E102" s="17"/>
      <c r="F102" s="18"/>
      <c r="G102" s="59" t="s">
        <v>173</v>
      </c>
      <c r="H102" s="17"/>
      <c r="I102" s="17"/>
      <c r="J102" s="18"/>
      <c r="K102" s="60">
        <v>25.0</v>
      </c>
      <c r="L102" s="17"/>
      <c r="M102" s="17"/>
      <c r="N102" s="18"/>
      <c r="O102" s="60"/>
      <c r="P102" s="17"/>
      <c r="Q102" s="18"/>
      <c r="R102" s="60"/>
      <c r="S102" s="18"/>
      <c r="T102" s="60"/>
      <c r="U102" s="18"/>
      <c r="V102" s="61"/>
      <c r="W102" s="18"/>
      <c r="X102" s="62" t="str">
        <f>X71</f>
        <v>nombre &lt;&gt; ''</v>
      </c>
      <c r="Y102" s="63" t="s">
        <v>132</v>
      </c>
    </row>
    <row r="103" ht="45.0" customHeight="1">
      <c r="A103" s="58">
        <v>3.0</v>
      </c>
      <c r="B103" s="46" t="s">
        <v>219</v>
      </c>
      <c r="C103" s="47" t="s">
        <v>220</v>
      </c>
      <c r="D103" s="17"/>
      <c r="E103" s="17"/>
      <c r="F103" s="18"/>
      <c r="G103" s="59" t="s">
        <v>221</v>
      </c>
      <c r="H103" s="17"/>
      <c r="I103" s="17"/>
      <c r="J103" s="18"/>
      <c r="K103" s="60">
        <v>8.0</v>
      </c>
      <c r="L103" s="17"/>
      <c r="M103" s="17"/>
      <c r="N103" s="18"/>
      <c r="O103" s="60"/>
      <c r="P103" s="17"/>
      <c r="Q103" s="18"/>
      <c r="R103" s="60"/>
      <c r="S103" s="18"/>
      <c r="T103" s="60"/>
      <c r="U103" s="18"/>
      <c r="V103" s="61"/>
      <c r="W103" s="18"/>
      <c r="X103" s="64" t="s">
        <v>222</v>
      </c>
      <c r="Y103" s="63" t="s">
        <v>223</v>
      </c>
    </row>
    <row r="104" ht="45.0" customHeight="1">
      <c r="A104" s="37"/>
    </row>
    <row r="105" ht="45.0" customHeight="1">
      <c r="A105" s="53">
        <f>A15</f>
        <v>12</v>
      </c>
      <c r="B105" s="54" t="s">
        <v>116</v>
      </c>
      <c r="C105" s="40" t="str">
        <f>B15</f>
        <v>enfermera</v>
      </c>
      <c r="D105" s="17"/>
      <c r="E105" s="17"/>
      <c r="F105" s="18"/>
      <c r="G105" s="55" t="s">
        <v>117</v>
      </c>
      <c r="H105" s="17"/>
      <c r="I105" s="17"/>
      <c r="J105" s="18"/>
      <c r="K105" s="35" t="str">
        <f>F15</f>
        <v>Registra información del personal de enfermería</v>
      </c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8"/>
      <c r="X105" s="56" t="s">
        <v>118</v>
      </c>
      <c r="Y105" s="43" t="str">
        <f>Y68</f>
        <v>002_agregar_columna_check</v>
      </c>
    </row>
    <row r="106" ht="45.0" customHeight="1">
      <c r="A106" s="56" t="s">
        <v>4</v>
      </c>
      <c r="B106" s="56" t="s">
        <v>119</v>
      </c>
      <c r="C106" s="54" t="s">
        <v>120</v>
      </c>
      <c r="D106" s="17"/>
      <c r="E106" s="17"/>
      <c r="F106" s="18"/>
      <c r="G106" s="55" t="s">
        <v>121</v>
      </c>
      <c r="H106" s="17"/>
      <c r="I106" s="17"/>
      <c r="J106" s="18"/>
      <c r="K106" s="54" t="s">
        <v>122</v>
      </c>
      <c r="L106" s="17"/>
      <c r="M106" s="17"/>
      <c r="N106" s="18"/>
      <c r="O106" s="54" t="s">
        <v>123</v>
      </c>
      <c r="P106" s="17"/>
      <c r="Q106" s="18"/>
      <c r="R106" s="54" t="s">
        <v>124</v>
      </c>
      <c r="S106" s="18"/>
      <c r="T106" s="54" t="s">
        <v>125</v>
      </c>
      <c r="U106" s="18"/>
      <c r="V106" s="54" t="s">
        <v>126</v>
      </c>
      <c r="W106" s="18"/>
      <c r="X106" s="55" t="s">
        <v>127</v>
      </c>
      <c r="Y106" s="57" t="s">
        <v>64</v>
      </c>
    </row>
    <row r="107" ht="45.0" customHeight="1">
      <c r="A107" s="58">
        <v>1.0</v>
      </c>
      <c r="B107" s="46" t="s">
        <v>224</v>
      </c>
      <c r="C107" s="47" t="s">
        <v>225</v>
      </c>
      <c r="D107" s="17"/>
      <c r="E107" s="17"/>
      <c r="F107" s="18"/>
      <c r="G107" s="59" t="s">
        <v>173</v>
      </c>
      <c r="H107" s="17"/>
      <c r="I107" s="17"/>
      <c r="J107" s="18"/>
      <c r="K107" s="60">
        <v>20.0</v>
      </c>
      <c r="L107" s="17"/>
      <c r="M107" s="17"/>
      <c r="N107" s="18"/>
      <c r="O107" s="60" t="s">
        <v>130</v>
      </c>
      <c r="P107" s="17"/>
      <c r="Q107" s="18"/>
      <c r="R107" s="60" t="s">
        <v>131</v>
      </c>
      <c r="S107" s="18"/>
      <c r="T107" s="60"/>
      <c r="U107" s="18"/>
      <c r="V107" s="61"/>
      <c r="W107" s="18"/>
      <c r="X107" s="62"/>
      <c r="Y107" s="63" t="s">
        <v>132</v>
      </c>
    </row>
    <row r="108" ht="45.0" customHeight="1">
      <c r="A108" s="58">
        <v>2.0</v>
      </c>
      <c r="B108" s="46" t="s">
        <v>133</v>
      </c>
      <c r="C108" s="47" t="s">
        <v>226</v>
      </c>
      <c r="D108" s="17"/>
      <c r="E108" s="17"/>
      <c r="F108" s="18"/>
      <c r="G108" s="59" t="s">
        <v>173</v>
      </c>
      <c r="H108" s="17"/>
      <c r="I108" s="17"/>
      <c r="J108" s="18"/>
      <c r="K108" s="60">
        <v>10.0</v>
      </c>
      <c r="L108" s="17"/>
      <c r="M108" s="17"/>
      <c r="N108" s="18"/>
      <c r="O108" s="60"/>
      <c r="P108" s="17"/>
      <c r="Q108" s="18"/>
      <c r="R108" s="60"/>
      <c r="S108" s="18"/>
      <c r="T108" s="60"/>
      <c r="U108" s="18"/>
      <c r="V108" s="61"/>
      <c r="W108" s="18"/>
      <c r="X108" s="62" t="str">
        <f t="shared" ref="X108:X109" si="4">X71</f>
        <v>nombre &lt;&gt; ''</v>
      </c>
      <c r="Y108" s="63" t="s">
        <v>132</v>
      </c>
    </row>
    <row r="109" ht="45.0" customHeight="1">
      <c r="A109" s="58">
        <v>3.0</v>
      </c>
      <c r="B109" s="46" t="s">
        <v>182</v>
      </c>
      <c r="C109" s="47" t="s">
        <v>227</v>
      </c>
      <c r="D109" s="17"/>
      <c r="E109" s="17"/>
      <c r="F109" s="18"/>
      <c r="G109" s="59" t="s">
        <v>173</v>
      </c>
      <c r="H109" s="17"/>
      <c r="I109" s="17"/>
      <c r="J109" s="18"/>
      <c r="K109" s="60">
        <v>40.0</v>
      </c>
      <c r="L109" s="17"/>
      <c r="M109" s="17"/>
      <c r="N109" s="18"/>
      <c r="O109" s="60"/>
      <c r="P109" s="17"/>
      <c r="Q109" s="18"/>
      <c r="R109" s="60"/>
      <c r="S109" s="18"/>
      <c r="T109" s="60"/>
      <c r="U109" s="18"/>
      <c r="V109" s="61"/>
      <c r="W109" s="18"/>
      <c r="X109" s="62" t="str">
        <f t="shared" si="4"/>
        <v>apellido &lt;&gt; ''</v>
      </c>
      <c r="Y109" s="63" t="s">
        <v>132</v>
      </c>
    </row>
    <row r="110" ht="45.0" customHeight="1">
      <c r="A110" s="58">
        <v>4.0</v>
      </c>
      <c r="B110" s="46" t="s">
        <v>150</v>
      </c>
      <c r="C110" s="47" t="s">
        <v>164</v>
      </c>
      <c r="D110" s="17"/>
      <c r="E110" s="17"/>
      <c r="F110" s="18"/>
      <c r="G110" s="59" t="s">
        <v>173</v>
      </c>
      <c r="H110" s="17"/>
      <c r="I110" s="17"/>
      <c r="J110" s="18"/>
      <c r="K110" s="60">
        <v>25.0</v>
      </c>
      <c r="L110" s="17"/>
      <c r="M110" s="17"/>
      <c r="N110" s="18"/>
      <c r="O110" s="60" t="s">
        <v>130</v>
      </c>
      <c r="P110" s="17"/>
      <c r="Q110" s="18"/>
      <c r="R110" s="60"/>
      <c r="S110" s="18"/>
      <c r="T110" s="60" t="s">
        <v>131</v>
      </c>
      <c r="U110" s="18"/>
      <c r="V110" s="61"/>
      <c r="W110" s="18"/>
      <c r="X110" s="62"/>
      <c r="Y110" s="63" t="s">
        <v>165</v>
      </c>
    </row>
    <row r="111" ht="45.0" customHeight="1">
      <c r="A111" s="37"/>
    </row>
    <row r="112" ht="45.0" customHeight="1">
      <c r="A112" s="53">
        <f>A16</f>
        <v>13</v>
      </c>
      <c r="B112" s="54" t="s">
        <v>116</v>
      </c>
      <c r="C112" s="40" t="str">
        <f>B16</f>
        <v>tarjeta</v>
      </c>
      <c r="D112" s="17"/>
      <c r="E112" s="17"/>
      <c r="F112" s="18"/>
      <c r="G112" s="55" t="s">
        <v>117</v>
      </c>
      <c r="H112" s="17"/>
      <c r="I112" s="17"/>
      <c r="J112" s="18"/>
      <c r="K112" s="35" t="str">
        <f>F16</f>
        <v>Controla tarjetas de visita asignadas a pacientes</v>
      </c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8"/>
      <c r="X112" s="56" t="s">
        <v>118</v>
      </c>
      <c r="Y112" s="43" t="str">
        <f>Y68</f>
        <v>002_agregar_columna_check</v>
      </c>
    </row>
    <row r="113" ht="45.0" customHeight="1">
      <c r="A113" s="56" t="s">
        <v>4</v>
      </c>
      <c r="B113" s="56" t="s">
        <v>119</v>
      </c>
      <c r="C113" s="54" t="s">
        <v>120</v>
      </c>
      <c r="D113" s="17"/>
      <c r="E113" s="17"/>
      <c r="F113" s="18"/>
      <c r="G113" s="55" t="s">
        <v>121</v>
      </c>
      <c r="H113" s="17"/>
      <c r="I113" s="17"/>
      <c r="J113" s="18"/>
      <c r="K113" s="54" t="s">
        <v>122</v>
      </c>
      <c r="L113" s="17"/>
      <c r="M113" s="17"/>
      <c r="N113" s="18"/>
      <c r="O113" s="54" t="s">
        <v>123</v>
      </c>
      <c r="P113" s="17"/>
      <c r="Q113" s="18"/>
      <c r="R113" s="54" t="s">
        <v>124</v>
      </c>
      <c r="S113" s="18"/>
      <c r="T113" s="54" t="s">
        <v>125</v>
      </c>
      <c r="U113" s="18"/>
      <c r="V113" s="54" t="s">
        <v>126</v>
      </c>
      <c r="W113" s="18"/>
      <c r="X113" s="55" t="s">
        <v>127</v>
      </c>
      <c r="Y113" s="57" t="s">
        <v>64</v>
      </c>
    </row>
    <row r="114" ht="45.0" customHeight="1">
      <c r="A114" s="58">
        <v>1.0</v>
      </c>
      <c r="B114" s="46" t="s">
        <v>228</v>
      </c>
      <c r="C114" s="47" t="s">
        <v>229</v>
      </c>
      <c r="D114" s="17"/>
      <c r="E114" s="17"/>
      <c r="F114" s="18"/>
      <c r="G114" s="59" t="s">
        <v>173</v>
      </c>
      <c r="H114" s="17"/>
      <c r="I114" s="17"/>
      <c r="J114" s="18"/>
      <c r="K114" s="60">
        <v>25.0</v>
      </c>
      <c r="L114" s="17"/>
      <c r="M114" s="17"/>
      <c r="N114" s="18"/>
      <c r="O114" s="60" t="s">
        <v>130</v>
      </c>
      <c r="P114" s="17"/>
      <c r="Q114" s="18"/>
      <c r="R114" s="60" t="s">
        <v>131</v>
      </c>
      <c r="S114" s="18"/>
      <c r="T114" s="60"/>
      <c r="U114" s="18"/>
      <c r="V114" s="61"/>
      <c r="W114" s="18"/>
      <c r="X114" s="62"/>
      <c r="Y114" s="63" t="s">
        <v>132</v>
      </c>
    </row>
    <row r="115" ht="45.0" customHeight="1">
      <c r="A115" s="58">
        <v>2.0</v>
      </c>
      <c r="B115" s="46" t="s">
        <v>230</v>
      </c>
      <c r="C115" s="47" t="s">
        <v>231</v>
      </c>
      <c r="D115" s="17"/>
      <c r="E115" s="17"/>
      <c r="F115" s="18"/>
      <c r="G115" s="59" t="s">
        <v>173</v>
      </c>
      <c r="H115" s="17"/>
      <c r="I115" s="17"/>
      <c r="J115" s="18"/>
      <c r="K115" s="60">
        <v>15.0</v>
      </c>
      <c r="L115" s="17"/>
      <c r="M115" s="17"/>
      <c r="N115" s="18"/>
      <c r="O115" s="61"/>
      <c r="P115" s="17"/>
      <c r="Q115" s="18"/>
      <c r="R115" s="61"/>
      <c r="S115" s="18"/>
      <c r="T115" s="60"/>
      <c r="U115" s="18"/>
      <c r="V115" s="61"/>
      <c r="W115" s="18"/>
      <c r="X115" s="64" t="s">
        <v>232</v>
      </c>
      <c r="Y115" s="63" t="s">
        <v>233</v>
      </c>
    </row>
    <row r="116" ht="45.0" customHeight="1">
      <c r="A116" s="58">
        <v>3.0</v>
      </c>
      <c r="B116" s="46" t="s">
        <v>234</v>
      </c>
      <c r="C116" s="47" t="s">
        <v>235</v>
      </c>
      <c r="D116" s="17"/>
      <c r="E116" s="17"/>
      <c r="F116" s="18"/>
      <c r="G116" s="59" t="s">
        <v>187</v>
      </c>
      <c r="H116" s="17"/>
      <c r="I116" s="17"/>
      <c r="J116" s="18"/>
      <c r="K116" s="60">
        <v>20.0</v>
      </c>
      <c r="L116" s="17"/>
      <c r="M116" s="17"/>
      <c r="N116" s="18"/>
      <c r="O116" s="61"/>
      <c r="P116" s="17"/>
      <c r="Q116" s="18"/>
      <c r="R116" s="61"/>
      <c r="S116" s="18"/>
      <c r="T116" s="60"/>
      <c r="U116" s="18"/>
      <c r="V116" s="61"/>
      <c r="W116" s="18"/>
      <c r="X116" s="64" t="str">
        <f>X123</f>
        <v>fecha &lt;= CURRENT_DATE</v>
      </c>
      <c r="Y116" s="63" t="s">
        <v>189</v>
      </c>
    </row>
    <row r="117" ht="45.0" customHeight="1">
      <c r="A117" s="58">
        <v>4.0</v>
      </c>
      <c r="B117" s="46" t="s">
        <v>178</v>
      </c>
      <c r="C117" s="47" t="s">
        <v>204</v>
      </c>
      <c r="D117" s="17"/>
      <c r="E117" s="17"/>
      <c r="F117" s="18"/>
      <c r="G117" s="59" t="s">
        <v>173</v>
      </c>
      <c r="H117" s="17"/>
      <c r="I117" s="17"/>
      <c r="J117" s="18"/>
      <c r="K117" s="60">
        <v>20.0</v>
      </c>
      <c r="L117" s="17"/>
      <c r="M117" s="17"/>
      <c r="N117" s="18"/>
      <c r="O117" s="60" t="s">
        <v>130</v>
      </c>
      <c r="P117" s="17"/>
      <c r="Q117" s="18"/>
      <c r="R117" s="61"/>
      <c r="S117" s="18"/>
      <c r="T117" s="60" t="s">
        <v>131</v>
      </c>
      <c r="U117" s="18"/>
      <c r="V117" s="61"/>
      <c r="W117" s="18"/>
      <c r="X117" s="62"/>
      <c r="Y117" s="63" t="s">
        <v>205</v>
      </c>
    </row>
    <row r="118" ht="45.0" customHeight="1"/>
    <row r="119" ht="45.0" customHeight="1">
      <c r="A119" s="53">
        <f>A17</f>
        <v>14</v>
      </c>
      <c r="B119" s="54" t="s">
        <v>116</v>
      </c>
      <c r="C119" s="40" t="str">
        <f>B17</f>
        <v>registro</v>
      </c>
      <c r="D119" s="17"/>
      <c r="E119" s="17"/>
      <c r="F119" s="18"/>
      <c r="G119" s="55" t="s">
        <v>117</v>
      </c>
      <c r="H119" s="17"/>
      <c r="I119" s="17"/>
      <c r="J119" s="18"/>
      <c r="K119" s="35" t="str">
        <f>F17</f>
        <v>Administra eventos clínicos del paciente</v>
      </c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8"/>
      <c r="X119" s="56" t="s">
        <v>118</v>
      </c>
      <c r="Y119" s="43" t="str">
        <f>Y68</f>
        <v>002_agregar_columna_check</v>
      </c>
    </row>
    <row r="120" ht="45.0" customHeight="1">
      <c r="A120" s="56" t="s">
        <v>4</v>
      </c>
      <c r="B120" s="56" t="s">
        <v>119</v>
      </c>
      <c r="C120" s="54" t="s">
        <v>120</v>
      </c>
      <c r="D120" s="17"/>
      <c r="E120" s="17"/>
      <c r="F120" s="18"/>
      <c r="G120" s="55" t="s">
        <v>121</v>
      </c>
      <c r="H120" s="17"/>
      <c r="I120" s="17"/>
      <c r="J120" s="18"/>
      <c r="K120" s="54" t="s">
        <v>122</v>
      </c>
      <c r="L120" s="17"/>
      <c r="M120" s="17"/>
      <c r="N120" s="18"/>
      <c r="O120" s="54" t="s">
        <v>123</v>
      </c>
      <c r="P120" s="17"/>
      <c r="Q120" s="18"/>
      <c r="R120" s="54" t="s">
        <v>124</v>
      </c>
      <c r="S120" s="18"/>
      <c r="T120" s="54" t="s">
        <v>125</v>
      </c>
      <c r="U120" s="18"/>
      <c r="V120" s="54" t="s">
        <v>126</v>
      </c>
      <c r="W120" s="18"/>
      <c r="X120" s="55" t="s">
        <v>127</v>
      </c>
      <c r="Y120" s="57" t="s">
        <v>64</v>
      </c>
    </row>
    <row r="121" ht="45.0" customHeight="1">
      <c r="A121" s="58">
        <v>1.0</v>
      </c>
      <c r="B121" s="46" t="s">
        <v>236</v>
      </c>
      <c r="C121" s="47" t="s">
        <v>237</v>
      </c>
      <c r="D121" s="17"/>
      <c r="E121" s="17"/>
      <c r="F121" s="18"/>
      <c r="G121" s="59" t="s">
        <v>173</v>
      </c>
      <c r="H121" s="17"/>
      <c r="I121" s="17"/>
      <c r="J121" s="18"/>
      <c r="K121" s="60">
        <v>25.0</v>
      </c>
      <c r="L121" s="17"/>
      <c r="M121" s="17"/>
      <c r="N121" s="18"/>
      <c r="O121" s="60" t="s">
        <v>130</v>
      </c>
      <c r="P121" s="17"/>
      <c r="Q121" s="18"/>
      <c r="R121" s="60" t="s">
        <v>131</v>
      </c>
      <c r="S121" s="18"/>
      <c r="T121" s="60"/>
      <c r="U121" s="18"/>
      <c r="V121" s="61"/>
      <c r="W121" s="18"/>
      <c r="X121" s="62"/>
      <c r="Y121" s="63" t="s">
        <v>132</v>
      </c>
    </row>
    <row r="122" ht="45.0" customHeight="1">
      <c r="A122" s="58">
        <v>2.0</v>
      </c>
      <c r="B122" s="46" t="s">
        <v>238</v>
      </c>
      <c r="C122" s="47" t="s">
        <v>239</v>
      </c>
      <c r="D122" s="17"/>
      <c r="E122" s="17"/>
      <c r="F122" s="18"/>
      <c r="G122" s="59" t="s">
        <v>173</v>
      </c>
      <c r="H122" s="17"/>
      <c r="I122" s="17"/>
      <c r="J122" s="18"/>
      <c r="K122" s="60">
        <v>10.0</v>
      </c>
      <c r="L122" s="17"/>
      <c r="M122" s="17"/>
      <c r="N122" s="18"/>
      <c r="O122" s="61"/>
      <c r="P122" s="17"/>
      <c r="Q122" s="18"/>
      <c r="R122" s="61"/>
      <c r="S122" s="18"/>
      <c r="T122" s="60"/>
      <c r="U122" s="18"/>
      <c r="V122" s="61"/>
      <c r="W122" s="18"/>
      <c r="X122" s="64" t="s">
        <v>240</v>
      </c>
      <c r="Y122" s="63" t="s">
        <v>241</v>
      </c>
    </row>
    <row r="123" ht="45.0" customHeight="1">
      <c r="A123" s="58">
        <v>3.0</v>
      </c>
      <c r="B123" s="46" t="s">
        <v>234</v>
      </c>
      <c r="C123" s="47" t="s">
        <v>242</v>
      </c>
      <c r="D123" s="17"/>
      <c r="E123" s="17"/>
      <c r="F123" s="18"/>
      <c r="G123" s="59" t="s">
        <v>187</v>
      </c>
      <c r="H123" s="17"/>
      <c r="I123" s="17"/>
      <c r="J123" s="18"/>
      <c r="K123" s="60">
        <v>20.0</v>
      </c>
      <c r="L123" s="17"/>
      <c r="M123" s="17"/>
      <c r="N123" s="18"/>
      <c r="O123" s="61"/>
      <c r="P123" s="17"/>
      <c r="Q123" s="18"/>
      <c r="R123" s="61"/>
      <c r="S123" s="18"/>
      <c r="T123" s="60"/>
      <c r="U123" s="18"/>
      <c r="V123" s="61"/>
      <c r="W123" s="18"/>
      <c r="X123" s="64" t="s">
        <v>243</v>
      </c>
      <c r="Y123" s="63" t="s">
        <v>189</v>
      </c>
    </row>
    <row r="124" ht="45.0" customHeight="1">
      <c r="A124" s="58">
        <v>4.0</v>
      </c>
      <c r="B124" s="46" t="s">
        <v>178</v>
      </c>
      <c r="C124" s="47" t="s">
        <v>204</v>
      </c>
      <c r="D124" s="17"/>
      <c r="E124" s="17"/>
      <c r="F124" s="18"/>
      <c r="G124" s="59" t="s">
        <v>173</v>
      </c>
      <c r="H124" s="17"/>
      <c r="I124" s="17"/>
      <c r="J124" s="18"/>
      <c r="K124" s="60">
        <v>20.0</v>
      </c>
      <c r="L124" s="17"/>
      <c r="M124" s="17"/>
      <c r="N124" s="18"/>
      <c r="O124" s="60" t="s">
        <v>130</v>
      </c>
      <c r="P124" s="17"/>
      <c r="Q124" s="18"/>
      <c r="R124" s="61"/>
      <c r="S124" s="18"/>
      <c r="T124" s="60" t="s">
        <v>131</v>
      </c>
      <c r="U124" s="18"/>
      <c r="V124" s="61"/>
      <c r="W124" s="18"/>
      <c r="X124" s="62"/>
      <c r="Y124" s="63" t="s">
        <v>205</v>
      </c>
    </row>
    <row r="125" ht="45.0" customHeight="1">
      <c r="A125" s="37"/>
    </row>
    <row r="126" ht="45.0" customHeight="1">
      <c r="A126" s="53">
        <f>A18</f>
        <v>15</v>
      </c>
      <c r="B126" s="54" t="s">
        <v>116</v>
      </c>
      <c r="C126" s="40" t="str">
        <f>B18</f>
        <v>diagnostico</v>
      </c>
      <c r="D126" s="17"/>
      <c r="E126" s="17"/>
      <c r="F126" s="18"/>
      <c r="G126" s="55" t="s">
        <v>117</v>
      </c>
      <c r="H126" s="17"/>
      <c r="I126" s="17"/>
      <c r="J126" s="18"/>
      <c r="K126" s="35" t="str">
        <f>F18</f>
        <v>Registra los diagnósticos realizados a los pacientes</v>
      </c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8"/>
      <c r="X126" s="56" t="s">
        <v>118</v>
      </c>
      <c r="Y126" s="43" t="str">
        <f>Y68</f>
        <v>002_agregar_columna_check</v>
      </c>
    </row>
    <row r="127" ht="45.0" customHeight="1">
      <c r="A127" s="56" t="s">
        <v>4</v>
      </c>
      <c r="B127" s="56" t="s">
        <v>119</v>
      </c>
      <c r="C127" s="54" t="s">
        <v>120</v>
      </c>
      <c r="D127" s="17"/>
      <c r="E127" s="17"/>
      <c r="F127" s="18"/>
      <c r="G127" s="55" t="s">
        <v>121</v>
      </c>
      <c r="H127" s="17"/>
      <c r="I127" s="17"/>
      <c r="J127" s="18"/>
      <c r="K127" s="54" t="s">
        <v>122</v>
      </c>
      <c r="L127" s="17"/>
      <c r="M127" s="17"/>
      <c r="N127" s="18"/>
      <c r="O127" s="54" t="s">
        <v>123</v>
      </c>
      <c r="P127" s="17"/>
      <c r="Q127" s="18"/>
      <c r="R127" s="54" t="s">
        <v>124</v>
      </c>
      <c r="S127" s="18"/>
      <c r="T127" s="54" t="s">
        <v>125</v>
      </c>
      <c r="U127" s="18"/>
      <c r="V127" s="54" t="s">
        <v>126</v>
      </c>
      <c r="W127" s="18"/>
      <c r="X127" s="55" t="s">
        <v>127</v>
      </c>
      <c r="Y127" s="57" t="s">
        <v>64</v>
      </c>
    </row>
    <row r="128" ht="45.0" customHeight="1">
      <c r="A128" s="58">
        <v>1.0</v>
      </c>
      <c r="B128" s="46" t="s">
        <v>244</v>
      </c>
      <c r="C128" s="47" t="s">
        <v>245</v>
      </c>
      <c r="D128" s="17"/>
      <c r="E128" s="17"/>
      <c r="F128" s="18"/>
      <c r="G128" s="59" t="s">
        <v>173</v>
      </c>
      <c r="H128" s="17"/>
      <c r="I128" s="17"/>
      <c r="J128" s="18"/>
      <c r="K128" s="60">
        <v>30.0</v>
      </c>
      <c r="L128" s="17"/>
      <c r="M128" s="17"/>
      <c r="N128" s="18"/>
      <c r="O128" s="60" t="s">
        <v>130</v>
      </c>
      <c r="P128" s="17"/>
      <c r="Q128" s="18"/>
      <c r="R128" s="60" t="s">
        <v>131</v>
      </c>
      <c r="S128" s="18"/>
      <c r="T128" s="60"/>
      <c r="U128" s="18"/>
      <c r="V128" s="61"/>
      <c r="W128" s="18"/>
      <c r="X128" s="62"/>
      <c r="Y128" s="63" t="s">
        <v>132</v>
      </c>
    </row>
    <row r="129" ht="45.0" customHeight="1">
      <c r="A129" s="58">
        <v>2.0</v>
      </c>
      <c r="B129" s="46" t="s">
        <v>234</v>
      </c>
      <c r="C129" s="47" t="s">
        <v>246</v>
      </c>
      <c r="D129" s="17"/>
      <c r="E129" s="17"/>
      <c r="F129" s="18"/>
      <c r="G129" s="59" t="s">
        <v>187</v>
      </c>
      <c r="H129" s="17"/>
      <c r="I129" s="17"/>
      <c r="J129" s="18"/>
      <c r="K129" s="60">
        <v>20.0</v>
      </c>
      <c r="L129" s="17"/>
      <c r="M129" s="17"/>
      <c r="N129" s="18"/>
      <c r="O129" s="60"/>
      <c r="P129" s="17"/>
      <c r="Q129" s="18"/>
      <c r="R129" s="60"/>
      <c r="S129" s="18"/>
      <c r="T129" s="60"/>
      <c r="U129" s="18"/>
      <c r="V129" s="61"/>
      <c r="W129" s="18"/>
      <c r="X129" s="62" t="str">
        <f>X123</f>
        <v>fecha &lt;= CURRENT_DATE</v>
      </c>
      <c r="Y129" s="63" t="s">
        <v>189</v>
      </c>
    </row>
    <row r="130" ht="45.0" customHeight="1">
      <c r="A130" s="58">
        <v>3.0</v>
      </c>
      <c r="B130" s="46" t="s">
        <v>209</v>
      </c>
      <c r="C130" s="47" t="s">
        <v>247</v>
      </c>
      <c r="D130" s="17"/>
      <c r="E130" s="17"/>
      <c r="F130" s="18"/>
      <c r="G130" s="59" t="s">
        <v>211</v>
      </c>
      <c r="H130" s="17"/>
      <c r="I130" s="17"/>
      <c r="J130" s="18"/>
      <c r="K130" s="60">
        <v>300.0</v>
      </c>
      <c r="L130" s="17"/>
      <c r="M130" s="17"/>
      <c r="N130" s="18"/>
      <c r="O130" s="60" t="s">
        <v>130</v>
      </c>
      <c r="P130" s="17"/>
      <c r="Q130" s="18"/>
      <c r="R130" s="60"/>
      <c r="S130" s="18"/>
      <c r="T130" s="60"/>
      <c r="U130" s="18"/>
      <c r="V130" s="61"/>
      <c r="W130" s="18"/>
      <c r="X130" s="64" t="s">
        <v>248</v>
      </c>
      <c r="Y130" s="63" t="s">
        <v>132</v>
      </c>
    </row>
    <row r="131" ht="45.0" customHeight="1">
      <c r="A131" s="58">
        <v>4.0</v>
      </c>
      <c r="B131" s="46" t="s">
        <v>178</v>
      </c>
      <c r="C131" s="47" t="s">
        <v>204</v>
      </c>
      <c r="D131" s="17"/>
      <c r="E131" s="17"/>
      <c r="F131" s="18"/>
      <c r="G131" s="59" t="s">
        <v>173</v>
      </c>
      <c r="H131" s="17"/>
      <c r="I131" s="17"/>
      <c r="J131" s="18"/>
      <c r="K131" s="60">
        <v>20.0</v>
      </c>
      <c r="L131" s="17"/>
      <c r="M131" s="17"/>
      <c r="N131" s="18"/>
      <c r="O131" s="60" t="s">
        <v>130</v>
      </c>
      <c r="P131" s="17"/>
      <c r="Q131" s="18"/>
      <c r="R131" s="60"/>
      <c r="S131" s="18"/>
      <c r="T131" s="60" t="s">
        <v>131</v>
      </c>
      <c r="U131" s="18"/>
      <c r="V131" s="61"/>
      <c r="W131" s="18"/>
      <c r="X131" s="62"/>
      <c r="Y131" s="63" t="s">
        <v>205</v>
      </c>
    </row>
    <row r="132" ht="45.0" customHeight="1">
      <c r="A132" s="58">
        <v>5.0</v>
      </c>
      <c r="B132" s="46" t="s">
        <v>212</v>
      </c>
      <c r="C132" s="47" t="s">
        <v>249</v>
      </c>
      <c r="D132" s="17"/>
      <c r="E132" s="17"/>
      <c r="F132" s="18"/>
      <c r="G132" s="59" t="s">
        <v>173</v>
      </c>
      <c r="H132" s="17"/>
      <c r="I132" s="17"/>
      <c r="J132" s="18"/>
      <c r="K132" s="60">
        <v>20.0</v>
      </c>
      <c r="L132" s="17"/>
      <c r="M132" s="17"/>
      <c r="N132" s="18"/>
      <c r="O132" s="60" t="s">
        <v>130</v>
      </c>
      <c r="P132" s="17"/>
      <c r="Q132" s="18"/>
      <c r="R132" s="60"/>
      <c r="S132" s="18"/>
      <c r="T132" s="60" t="s">
        <v>131</v>
      </c>
      <c r="U132" s="18"/>
      <c r="V132" s="61"/>
      <c r="W132" s="18"/>
      <c r="X132" s="62"/>
      <c r="Y132" s="63" t="s">
        <v>250</v>
      </c>
    </row>
    <row r="133" ht="45.0" customHeight="1">
      <c r="A133" s="37"/>
    </row>
    <row r="134" ht="45.0" customHeight="1">
      <c r="A134" s="53">
        <f>A19</f>
        <v>16</v>
      </c>
      <c r="B134" s="54" t="s">
        <v>116</v>
      </c>
      <c r="C134" s="40" t="str">
        <f>B19</f>
        <v>tratamiento</v>
      </c>
      <c r="D134" s="17"/>
      <c r="E134" s="17"/>
      <c r="F134" s="18"/>
      <c r="G134" s="55" t="s">
        <v>117</v>
      </c>
      <c r="H134" s="17"/>
      <c r="I134" s="17"/>
      <c r="J134" s="18"/>
      <c r="K134" s="35" t="str">
        <f>F19</f>
        <v>Detalla tratamientos aplicados a los pacientes</v>
      </c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8"/>
      <c r="X134" s="56" t="s">
        <v>118</v>
      </c>
      <c r="Y134" s="43" t="str">
        <f>Y68</f>
        <v>002_agregar_columna_check</v>
      </c>
    </row>
    <row r="135" ht="45.0" customHeight="1">
      <c r="A135" s="56" t="s">
        <v>4</v>
      </c>
      <c r="B135" s="56" t="s">
        <v>119</v>
      </c>
      <c r="C135" s="54" t="s">
        <v>120</v>
      </c>
      <c r="D135" s="17"/>
      <c r="E135" s="17"/>
      <c r="F135" s="18"/>
      <c r="G135" s="55" t="s">
        <v>121</v>
      </c>
      <c r="H135" s="17"/>
      <c r="I135" s="17"/>
      <c r="J135" s="18"/>
      <c r="K135" s="54" t="s">
        <v>122</v>
      </c>
      <c r="L135" s="17"/>
      <c r="M135" s="17"/>
      <c r="N135" s="18"/>
      <c r="O135" s="54" t="s">
        <v>123</v>
      </c>
      <c r="P135" s="17"/>
      <c r="Q135" s="18"/>
      <c r="R135" s="54" t="s">
        <v>124</v>
      </c>
      <c r="S135" s="18"/>
      <c r="T135" s="54" t="s">
        <v>125</v>
      </c>
      <c r="U135" s="18"/>
      <c r="V135" s="54" t="s">
        <v>126</v>
      </c>
      <c r="W135" s="18"/>
      <c r="X135" s="55" t="s">
        <v>127</v>
      </c>
      <c r="Y135" s="57" t="s">
        <v>64</v>
      </c>
    </row>
    <row r="136" ht="45.0" customHeight="1">
      <c r="A136" s="58">
        <v>1.0</v>
      </c>
      <c r="B136" s="46" t="s">
        <v>251</v>
      </c>
      <c r="C136" s="47" t="s">
        <v>252</v>
      </c>
      <c r="D136" s="17"/>
      <c r="E136" s="17"/>
      <c r="F136" s="18"/>
      <c r="G136" s="59" t="s">
        <v>173</v>
      </c>
      <c r="H136" s="17"/>
      <c r="I136" s="17"/>
      <c r="J136" s="18"/>
      <c r="K136" s="60">
        <v>20.0</v>
      </c>
      <c r="L136" s="17"/>
      <c r="M136" s="17"/>
      <c r="N136" s="18"/>
      <c r="O136" s="60" t="s">
        <v>130</v>
      </c>
      <c r="P136" s="17"/>
      <c r="Q136" s="18"/>
      <c r="R136" s="60" t="s">
        <v>131</v>
      </c>
      <c r="S136" s="18"/>
      <c r="T136" s="60"/>
      <c r="U136" s="18"/>
      <c r="V136" s="61"/>
      <c r="W136" s="18"/>
      <c r="X136" s="62"/>
      <c r="Y136" s="63" t="s">
        <v>132</v>
      </c>
    </row>
    <row r="137" ht="45.0" customHeight="1">
      <c r="A137" s="58">
        <v>2.0</v>
      </c>
      <c r="B137" s="46" t="s">
        <v>253</v>
      </c>
      <c r="C137" s="47" t="s">
        <v>254</v>
      </c>
      <c r="D137" s="17"/>
      <c r="E137" s="17"/>
      <c r="F137" s="18"/>
      <c r="G137" s="59" t="s">
        <v>159</v>
      </c>
      <c r="H137" s="17"/>
      <c r="I137" s="17"/>
      <c r="J137" s="18"/>
      <c r="K137" s="60">
        <v>10.0</v>
      </c>
      <c r="L137" s="17"/>
      <c r="M137" s="17"/>
      <c r="N137" s="18"/>
      <c r="O137" s="60"/>
      <c r="P137" s="17"/>
      <c r="Q137" s="18"/>
      <c r="R137" s="60"/>
      <c r="S137" s="18"/>
      <c r="T137" s="60"/>
      <c r="U137" s="18"/>
      <c r="V137" s="61"/>
      <c r="W137" s="18"/>
      <c r="X137" s="64" t="s">
        <v>255</v>
      </c>
      <c r="Y137" s="63" t="s">
        <v>256</v>
      </c>
    </row>
    <row r="138" ht="45.0" customHeight="1">
      <c r="A138" s="58">
        <v>3.0</v>
      </c>
      <c r="B138" s="46" t="s">
        <v>244</v>
      </c>
      <c r="C138" s="47" t="s">
        <v>257</v>
      </c>
      <c r="D138" s="17"/>
      <c r="E138" s="17"/>
      <c r="F138" s="18"/>
      <c r="G138" s="59" t="s">
        <v>173</v>
      </c>
      <c r="H138" s="17"/>
      <c r="I138" s="17"/>
      <c r="J138" s="18"/>
      <c r="K138" s="60">
        <v>25.0</v>
      </c>
      <c r="L138" s="17"/>
      <c r="M138" s="17"/>
      <c r="N138" s="18"/>
      <c r="O138" s="60" t="s">
        <v>130</v>
      </c>
      <c r="P138" s="17"/>
      <c r="Q138" s="18"/>
      <c r="R138" s="60"/>
      <c r="S138" s="18"/>
      <c r="T138" s="60" t="s">
        <v>131</v>
      </c>
      <c r="U138" s="18"/>
      <c r="V138" s="61"/>
      <c r="W138" s="18"/>
      <c r="X138" s="64" t="s">
        <v>61</v>
      </c>
      <c r="Y138" s="63" t="s">
        <v>258</v>
      </c>
    </row>
    <row r="139" ht="45.0" customHeight="1">
      <c r="A139" s="37"/>
    </row>
    <row r="140" ht="45.0" customHeight="1">
      <c r="A140" s="53">
        <f>A20</f>
        <v>17</v>
      </c>
      <c r="B140" s="54" t="s">
        <v>116</v>
      </c>
      <c r="C140" s="40" t="str">
        <f>B20</f>
        <v>asignacion</v>
      </c>
      <c r="D140" s="17"/>
      <c r="E140" s="17"/>
      <c r="F140" s="18"/>
      <c r="G140" s="55" t="s">
        <v>117</v>
      </c>
      <c r="H140" s="17"/>
      <c r="I140" s="17"/>
      <c r="J140" s="18"/>
      <c r="K140" s="35" t="str">
        <f>F20</f>
        <v>Controla camas asignadas a los pacientes</v>
      </c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8"/>
      <c r="X140" s="56" t="s">
        <v>118</v>
      </c>
      <c r="Y140" s="43" t="str">
        <f>Y68</f>
        <v>002_agregar_columna_check</v>
      </c>
    </row>
    <row r="141" ht="45.0" customHeight="1">
      <c r="A141" s="56" t="s">
        <v>4</v>
      </c>
      <c r="B141" s="56" t="s">
        <v>119</v>
      </c>
      <c r="C141" s="54" t="s">
        <v>120</v>
      </c>
      <c r="D141" s="17"/>
      <c r="E141" s="17"/>
      <c r="F141" s="18"/>
      <c r="G141" s="55" t="s">
        <v>121</v>
      </c>
      <c r="H141" s="17"/>
      <c r="I141" s="17"/>
      <c r="J141" s="18"/>
      <c r="K141" s="54" t="s">
        <v>122</v>
      </c>
      <c r="L141" s="17"/>
      <c r="M141" s="17"/>
      <c r="N141" s="18"/>
      <c r="O141" s="54" t="s">
        <v>123</v>
      </c>
      <c r="P141" s="17"/>
      <c r="Q141" s="18"/>
      <c r="R141" s="54" t="s">
        <v>124</v>
      </c>
      <c r="S141" s="18"/>
      <c r="T141" s="54" t="s">
        <v>125</v>
      </c>
      <c r="U141" s="18"/>
      <c r="V141" s="54" t="s">
        <v>126</v>
      </c>
      <c r="W141" s="18"/>
      <c r="X141" s="55" t="s">
        <v>127</v>
      </c>
      <c r="Y141" s="57" t="s">
        <v>64</v>
      </c>
    </row>
    <row r="142" ht="45.0" customHeight="1">
      <c r="A142" s="58">
        <v>1.0</v>
      </c>
      <c r="B142" s="46" t="s">
        <v>259</v>
      </c>
      <c r="C142" s="47" t="s">
        <v>260</v>
      </c>
      <c r="D142" s="17"/>
      <c r="E142" s="17"/>
      <c r="F142" s="18"/>
      <c r="G142" s="59" t="s">
        <v>173</v>
      </c>
      <c r="H142" s="17"/>
      <c r="I142" s="17"/>
      <c r="J142" s="18"/>
      <c r="K142" s="60">
        <v>15.0</v>
      </c>
      <c r="L142" s="17"/>
      <c r="M142" s="17"/>
      <c r="N142" s="18"/>
      <c r="O142" s="60" t="s">
        <v>130</v>
      </c>
      <c r="P142" s="17"/>
      <c r="Q142" s="18"/>
      <c r="R142" s="60" t="s">
        <v>131</v>
      </c>
      <c r="S142" s="18"/>
      <c r="T142" s="60"/>
      <c r="U142" s="18"/>
      <c r="V142" s="61"/>
      <c r="W142" s="18"/>
      <c r="X142" s="62"/>
      <c r="Y142" s="63" t="s">
        <v>132</v>
      </c>
    </row>
    <row r="143" ht="45.0" customHeight="1">
      <c r="A143" s="58">
        <v>2.0</v>
      </c>
      <c r="B143" s="46" t="s">
        <v>234</v>
      </c>
      <c r="C143" s="47" t="s">
        <v>261</v>
      </c>
      <c r="D143" s="17"/>
      <c r="E143" s="17"/>
      <c r="F143" s="18"/>
      <c r="G143" s="59" t="s">
        <v>187</v>
      </c>
      <c r="H143" s="17"/>
      <c r="I143" s="17"/>
      <c r="J143" s="18"/>
      <c r="K143" s="60">
        <v>20.0</v>
      </c>
      <c r="L143" s="17"/>
      <c r="M143" s="17"/>
      <c r="N143" s="18"/>
      <c r="O143" s="61"/>
      <c r="P143" s="17"/>
      <c r="Q143" s="18"/>
      <c r="R143" s="61"/>
      <c r="S143" s="18"/>
      <c r="T143" s="60"/>
      <c r="U143" s="18"/>
      <c r="V143" s="61"/>
      <c r="W143" s="18"/>
      <c r="X143" s="64" t="str">
        <f>X123</f>
        <v>fecha &lt;= CURRENT_DATE</v>
      </c>
      <c r="Y143" s="63" t="s">
        <v>189</v>
      </c>
    </row>
    <row r="144" ht="45.0" customHeight="1">
      <c r="A144" s="58">
        <v>3.0</v>
      </c>
      <c r="B144" s="46" t="s">
        <v>236</v>
      </c>
      <c r="C144" s="47" t="s">
        <v>262</v>
      </c>
      <c r="D144" s="17"/>
      <c r="E144" s="17"/>
      <c r="F144" s="18"/>
      <c r="G144" s="59" t="s">
        <v>173</v>
      </c>
      <c r="H144" s="17"/>
      <c r="I144" s="17"/>
      <c r="J144" s="18"/>
      <c r="K144" s="60">
        <v>20.0</v>
      </c>
      <c r="L144" s="17"/>
      <c r="M144" s="17"/>
      <c r="N144" s="18"/>
      <c r="O144" s="60" t="s">
        <v>130</v>
      </c>
      <c r="P144" s="17"/>
      <c r="Q144" s="18"/>
      <c r="R144" s="61"/>
      <c r="S144" s="18"/>
      <c r="T144" s="60" t="s">
        <v>131</v>
      </c>
      <c r="U144" s="18"/>
      <c r="V144" s="61"/>
      <c r="W144" s="18"/>
      <c r="X144" s="62"/>
      <c r="Y144" s="63" t="s">
        <v>263</v>
      </c>
    </row>
    <row r="145" ht="45.0" customHeight="1">
      <c r="A145" s="58">
        <v>4.0</v>
      </c>
      <c r="B145" s="46" t="s">
        <v>171</v>
      </c>
      <c r="C145" s="47" t="s">
        <v>264</v>
      </c>
      <c r="D145" s="17"/>
      <c r="E145" s="17"/>
      <c r="F145" s="18"/>
      <c r="G145" s="59" t="s">
        <v>173</v>
      </c>
      <c r="H145" s="17"/>
      <c r="I145" s="17"/>
      <c r="J145" s="18"/>
      <c r="K145" s="60">
        <v>10.0</v>
      </c>
      <c r="L145" s="17"/>
      <c r="M145" s="17"/>
      <c r="N145" s="18"/>
      <c r="O145" s="60" t="s">
        <v>130</v>
      </c>
      <c r="P145" s="17"/>
      <c r="Q145" s="18"/>
      <c r="R145" s="61"/>
      <c r="S145" s="18"/>
      <c r="T145" s="60" t="s">
        <v>131</v>
      </c>
      <c r="U145" s="18"/>
      <c r="V145" s="61"/>
      <c r="W145" s="18"/>
      <c r="X145" s="62"/>
      <c r="Y145" s="63" t="s">
        <v>265</v>
      </c>
    </row>
    <row r="146" ht="45.0" customHeight="1">
      <c r="A146" s="37"/>
    </row>
    <row r="147" ht="45.0" customHeight="1">
      <c r="A147" s="53">
        <f>A21</f>
        <v>18</v>
      </c>
      <c r="B147" s="54" t="s">
        <v>116</v>
      </c>
      <c r="C147" s="40" t="str">
        <f>B21</f>
        <v>autorizacion</v>
      </c>
      <c r="D147" s="17"/>
      <c r="E147" s="17"/>
      <c r="F147" s="18"/>
      <c r="G147" s="55" t="s">
        <v>117</v>
      </c>
      <c r="H147" s="17"/>
      <c r="I147" s="17"/>
      <c r="J147" s="18"/>
      <c r="K147" s="35" t="str">
        <f>F21</f>
        <v>Detalla las autorizaciones otorgadas</v>
      </c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8"/>
      <c r="X147" s="56" t="s">
        <v>118</v>
      </c>
      <c r="Y147" s="72" t="str">
        <f>Y68</f>
        <v>002_agregar_columna_check</v>
      </c>
    </row>
    <row r="148" ht="45.0" customHeight="1">
      <c r="A148" s="56" t="s">
        <v>4</v>
      </c>
      <c r="B148" s="56" t="s">
        <v>119</v>
      </c>
      <c r="C148" s="54" t="s">
        <v>120</v>
      </c>
      <c r="D148" s="17"/>
      <c r="E148" s="17"/>
      <c r="F148" s="18"/>
      <c r="G148" s="55" t="s">
        <v>121</v>
      </c>
      <c r="H148" s="17"/>
      <c r="I148" s="17"/>
      <c r="J148" s="18"/>
      <c r="K148" s="54" t="s">
        <v>122</v>
      </c>
      <c r="L148" s="17"/>
      <c r="M148" s="17"/>
      <c r="N148" s="18"/>
      <c r="O148" s="54" t="s">
        <v>123</v>
      </c>
      <c r="P148" s="17"/>
      <c r="Q148" s="18"/>
      <c r="R148" s="54" t="s">
        <v>124</v>
      </c>
      <c r="S148" s="18"/>
      <c r="T148" s="54" t="s">
        <v>125</v>
      </c>
      <c r="U148" s="18"/>
      <c r="V148" s="54" t="s">
        <v>126</v>
      </c>
      <c r="W148" s="18"/>
      <c r="X148" s="55" t="s">
        <v>127</v>
      </c>
      <c r="Y148" s="57" t="s">
        <v>64</v>
      </c>
    </row>
    <row r="149" ht="45.0" customHeight="1">
      <c r="A149" s="58">
        <v>1.0</v>
      </c>
      <c r="B149" s="46" t="s">
        <v>266</v>
      </c>
      <c r="C149" s="47" t="s">
        <v>267</v>
      </c>
      <c r="D149" s="17"/>
      <c r="E149" s="17"/>
      <c r="F149" s="18"/>
      <c r="G149" s="59" t="s">
        <v>173</v>
      </c>
      <c r="H149" s="17"/>
      <c r="I149" s="17"/>
      <c r="J149" s="18"/>
      <c r="K149" s="60">
        <v>25.0</v>
      </c>
      <c r="L149" s="17"/>
      <c r="M149" s="17"/>
      <c r="N149" s="18"/>
      <c r="O149" s="60" t="s">
        <v>130</v>
      </c>
      <c r="P149" s="17"/>
      <c r="Q149" s="18"/>
      <c r="R149" s="60" t="s">
        <v>131</v>
      </c>
      <c r="S149" s="18"/>
      <c r="T149" s="60"/>
      <c r="U149" s="18"/>
      <c r="V149" s="61"/>
      <c r="W149" s="18"/>
      <c r="X149" s="62"/>
      <c r="Y149" s="63" t="s">
        <v>132</v>
      </c>
    </row>
    <row r="150" ht="45.0" customHeight="1">
      <c r="A150" s="58">
        <v>2.0</v>
      </c>
      <c r="B150" s="46" t="s">
        <v>238</v>
      </c>
      <c r="C150" s="47" t="s">
        <v>268</v>
      </c>
      <c r="D150" s="17"/>
      <c r="E150" s="17"/>
      <c r="F150" s="18"/>
      <c r="G150" s="59" t="s">
        <v>173</v>
      </c>
      <c r="H150" s="17"/>
      <c r="I150" s="17"/>
      <c r="J150" s="18"/>
      <c r="K150" s="60">
        <v>20.0</v>
      </c>
      <c r="L150" s="17"/>
      <c r="M150" s="17"/>
      <c r="N150" s="18"/>
      <c r="O150" s="60"/>
      <c r="P150" s="17"/>
      <c r="Q150" s="18"/>
      <c r="R150" s="60"/>
      <c r="S150" s="18"/>
      <c r="T150" s="60"/>
      <c r="U150" s="18"/>
      <c r="V150" s="61"/>
      <c r="W150" s="18"/>
      <c r="X150" s="64" t="s">
        <v>269</v>
      </c>
      <c r="Y150" s="63" t="s">
        <v>270</v>
      </c>
    </row>
    <row r="151" ht="45.0" customHeight="1">
      <c r="A151" s="58">
        <v>3.0</v>
      </c>
      <c r="B151" s="46" t="s">
        <v>234</v>
      </c>
      <c r="C151" s="47" t="s">
        <v>271</v>
      </c>
      <c r="D151" s="17"/>
      <c r="E151" s="17"/>
      <c r="F151" s="18"/>
      <c r="G151" s="59" t="s">
        <v>187</v>
      </c>
      <c r="H151" s="17"/>
      <c r="I151" s="17"/>
      <c r="J151" s="18"/>
      <c r="K151" s="60">
        <v>20.0</v>
      </c>
      <c r="L151" s="17"/>
      <c r="M151" s="17"/>
      <c r="N151" s="18"/>
      <c r="O151" s="60"/>
      <c r="P151" s="17"/>
      <c r="Q151" s="18"/>
      <c r="R151" s="60"/>
      <c r="S151" s="18"/>
      <c r="T151" s="60"/>
      <c r="U151" s="18"/>
      <c r="V151" s="61"/>
      <c r="W151" s="18"/>
      <c r="X151" s="62" t="str">
        <f>X123</f>
        <v>fecha &lt;= CURRENT_DATE</v>
      </c>
      <c r="Y151" s="63" t="s">
        <v>189</v>
      </c>
    </row>
    <row r="152" ht="45.0" customHeight="1">
      <c r="A152" s="58">
        <v>4.0</v>
      </c>
      <c r="B152" s="46" t="s">
        <v>178</v>
      </c>
      <c r="C152" s="47" t="s">
        <v>204</v>
      </c>
      <c r="D152" s="17"/>
      <c r="E152" s="17"/>
      <c r="F152" s="18"/>
      <c r="G152" s="59" t="s">
        <v>173</v>
      </c>
      <c r="H152" s="17"/>
      <c r="I152" s="17"/>
      <c r="J152" s="18"/>
      <c r="K152" s="60">
        <v>20.0</v>
      </c>
      <c r="L152" s="17"/>
      <c r="M152" s="17"/>
      <c r="N152" s="18"/>
      <c r="O152" s="60"/>
      <c r="P152" s="17"/>
      <c r="Q152" s="18"/>
      <c r="R152" s="60"/>
      <c r="S152" s="18"/>
      <c r="T152" s="60" t="s">
        <v>131</v>
      </c>
      <c r="U152" s="18"/>
      <c r="V152" s="61"/>
      <c r="W152" s="18"/>
      <c r="X152" s="62"/>
      <c r="Y152" s="63" t="s">
        <v>205</v>
      </c>
    </row>
    <row r="153" ht="45.0" customHeight="1">
      <c r="A153" s="58">
        <v>5.0</v>
      </c>
      <c r="B153" s="46" t="s">
        <v>196</v>
      </c>
      <c r="C153" s="47" t="s">
        <v>272</v>
      </c>
      <c r="D153" s="17"/>
      <c r="E153" s="17"/>
      <c r="F153" s="18"/>
      <c r="G153" s="59" t="s">
        <v>173</v>
      </c>
      <c r="H153" s="17"/>
      <c r="I153" s="17"/>
      <c r="J153" s="18"/>
      <c r="K153" s="60">
        <v>20.0</v>
      </c>
      <c r="L153" s="17"/>
      <c r="M153" s="17"/>
      <c r="N153" s="18"/>
      <c r="O153" s="60"/>
      <c r="P153" s="17"/>
      <c r="Q153" s="18"/>
      <c r="R153" s="60"/>
      <c r="S153" s="18"/>
      <c r="T153" s="60" t="s">
        <v>131</v>
      </c>
      <c r="U153" s="18"/>
      <c r="V153" s="61"/>
      <c r="W153" s="18"/>
      <c r="X153" s="62"/>
      <c r="Y153" s="63" t="s">
        <v>273</v>
      </c>
    </row>
    <row r="154" ht="45.0" customHeight="1">
      <c r="A154" s="37"/>
    </row>
    <row r="155" ht="45.0" customHeight="1">
      <c r="A155" s="53">
        <f>A22</f>
        <v>19</v>
      </c>
      <c r="B155" s="54" t="s">
        <v>116</v>
      </c>
      <c r="C155" s="40" t="str">
        <f>B22</f>
        <v>entrada</v>
      </c>
      <c r="D155" s="17"/>
      <c r="E155" s="17"/>
      <c r="F155" s="18"/>
      <c r="G155" s="55" t="s">
        <v>117</v>
      </c>
      <c r="H155" s="17"/>
      <c r="I155" s="17"/>
      <c r="J155" s="18"/>
      <c r="K155" s="35" t="str">
        <f>F22</f>
        <v>Registra los ingresos hospitalarios del paciente</v>
      </c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8"/>
      <c r="X155" s="56" t="s">
        <v>118</v>
      </c>
      <c r="Y155" s="43" t="str">
        <f>Y68</f>
        <v>002_agregar_columna_check</v>
      </c>
    </row>
    <row r="156" ht="45.0" customHeight="1">
      <c r="A156" s="56" t="s">
        <v>4</v>
      </c>
      <c r="B156" s="56" t="s">
        <v>119</v>
      </c>
      <c r="C156" s="54" t="s">
        <v>120</v>
      </c>
      <c r="D156" s="17"/>
      <c r="E156" s="17"/>
      <c r="F156" s="18"/>
      <c r="G156" s="55" t="s">
        <v>121</v>
      </c>
      <c r="H156" s="17"/>
      <c r="I156" s="17"/>
      <c r="J156" s="18"/>
      <c r="K156" s="54" t="s">
        <v>122</v>
      </c>
      <c r="L156" s="17"/>
      <c r="M156" s="17"/>
      <c r="N156" s="18"/>
      <c r="O156" s="54" t="s">
        <v>123</v>
      </c>
      <c r="P156" s="17"/>
      <c r="Q156" s="18"/>
      <c r="R156" s="54" t="s">
        <v>124</v>
      </c>
      <c r="S156" s="18"/>
      <c r="T156" s="54" t="s">
        <v>125</v>
      </c>
      <c r="U156" s="18"/>
      <c r="V156" s="54" t="s">
        <v>126</v>
      </c>
      <c r="W156" s="18"/>
      <c r="X156" s="55" t="s">
        <v>127</v>
      </c>
      <c r="Y156" s="57" t="s">
        <v>64</v>
      </c>
    </row>
    <row r="157" ht="45.0" customHeight="1">
      <c r="A157" s="58">
        <v>1.0</v>
      </c>
      <c r="B157" s="46" t="s">
        <v>274</v>
      </c>
      <c r="C157" s="47" t="s">
        <v>275</v>
      </c>
      <c r="D157" s="17"/>
      <c r="E157" s="17"/>
      <c r="F157" s="18"/>
      <c r="G157" s="59" t="s">
        <v>173</v>
      </c>
      <c r="H157" s="17"/>
      <c r="I157" s="17"/>
      <c r="J157" s="18"/>
      <c r="K157" s="60">
        <v>10.0</v>
      </c>
      <c r="L157" s="17"/>
      <c r="M157" s="17"/>
      <c r="N157" s="18"/>
      <c r="O157" s="60" t="s">
        <v>130</v>
      </c>
      <c r="P157" s="17"/>
      <c r="Q157" s="18"/>
      <c r="R157" s="60" t="s">
        <v>131</v>
      </c>
      <c r="S157" s="18"/>
      <c r="T157" s="60"/>
      <c r="U157" s="18"/>
      <c r="V157" s="61"/>
      <c r="W157" s="18"/>
      <c r="X157" s="62"/>
      <c r="Y157" s="63" t="s">
        <v>132</v>
      </c>
    </row>
    <row r="158" ht="45.0" customHeight="1">
      <c r="A158" s="58">
        <v>2.0</v>
      </c>
      <c r="B158" s="46" t="s">
        <v>234</v>
      </c>
      <c r="C158" s="47" t="s">
        <v>276</v>
      </c>
      <c r="D158" s="17"/>
      <c r="E158" s="17"/>
      <c r="F158" s="18"/>
      <c r="G158" s="59" t="s">
        <v>187</v>
      </c>
      <c r="H158" s="17"/>
      <c r="I158" s="17"/>
      <c r="J158" s="18"/>
      <c r="K158" s="60">
        <v>20.0</v>
      </c>
      <c r="L158" s="17"/>
      <c r="M158" s="17"/>
      <c r="N158" s="18"/>
      <c r="O158" s="61"/>
      <c r="P158" s="17"/>
      <c r="Q158" s="18"/>
      <c r="R158" s="61"/>
      <c r="S158" s="18"/>
      <c r="T158" s="60"/>
      <c r="U158" s="18"/>
      <c r="V158" s="61"/>
      <c r="W158" s="18"/>
      <c r="X158" s="64" t="str">
        <f>X123</f>
        <v>fecha &lt;= CURRENT_DATE</v>
      </c>
      <c r="Y158" s="63" t="s">
        <v>189</v>
      </c>
    </row>
    <row r="159" ht="45.0" customHeight="1">
      <c r="A159" s="58">
        <v>3.0</v>
      </c>
      <c r="B159" s="46" t="s">
        <v>236</v>
      </c>
      <c r="C159" s="47" t="s">
        <v>262</v>
      </c>
      <c r="D159" s="17"/>
      <c r="E159" s="17"/>
      <c r="F159" s="18"/>
      <c r="G159" s="59" t="s">
        <v>173</v>
      </c>
      <c r="H159" s="17"/>
      <c r="I159" s="17"/>
      <c r="J159" s="18"/>
      <c r="K159" s="60">
        <v>20.0</v>
      </c>
      <c r="L159" s="17"/>
      <c r="M159" s="17"/>
      <c r="N159" s="18"/>
      <c r="O159" s="60" t="s">
        <v>130</v>
      </c>
      <c r="P159" s="17"/>
      <c r="Q159" s="18"/>
      <c r="R159" s="61"/>
      <c r="S159" s="18"/>
      <c r="T159" s="60" t="s">
        <v>131</v>
      </c>
      <c r="U159" s="18"/>
      <c r="V159" s="61"/>
      <c r="W159" s="18"/>
      <c r="X159" s="62"/>
      <c r="Y159" s="63" t="s">
        <v>263</v>
      </c>
    </row>
    <row r="160" ht="45.0" customHeight="1">
      <c r="A160" s="58">
        <v>4.0</v>
      </c>
      <c r="B160" s="46" t="s">
        <v>266</v>
      </c>
      <c r="C160" s="47" t="s">
        <v>277</v>
      </c>
      <c r="D160" s="17"/>
      <c r="E160" s="17"/>
      <c r="F160" s="18"/>
      <c r="G160" s="59" t="s">
        <v>173</v>
      </c>
      <c r="H160" s="17"/>
      <c r="I160" s="17"/>
      <c r="J160" s="18"/>
      <c r="K160" s="60">
        <v>20.0</v>
      </c>
      <c r="L160" s="17"/>
      <c r="M160" s="17"/>
      <c r="N160" s="18"/>
      <c r="O160" s="60" t="s">
        <v>130</v>
      </c>
      <c r="P160" s="17"/>
      <c r="Q160" s="18"/>
      <c r="R160" s="61"/>
      <c r="S160" s="18"/>
      <c r="T160" s="60" t="s">
        <v>131</v>
      </c>
      <c r="U160" s="18"/>
      <c r="V160" s="61"/>
      <c r="W160" s="18"/>
      <c r="X160" s="62"/>
      <c r="Y160" s="63" t="s">
        <v>278</v>
      </c>
    </row>
    <row r="161" ht="45.0" customHeight="1">
      <c r="A161" s="37"/>
    </row>
    <row r="162" ht="45.0" customHeight="1">
      <c r="A162" s="53">
        <f>A23</f>
        <v>20</v>
      </c>
      <c r="B162" s="54" t="s">
        <v>116</v>
      </c>
      <c r="C162" s="40" t="str">
        <f>B23</f>
        <v>alta</v>
      </c>
      <c r="D162" s="17"/>
      <c r="E162" s="17"/>
      <c r="F162" s="18"/>
      <c r="G162" s="55" t="s">
        <v>117</v>
      </c>
      <c r="H162" s="17"/>
      <c r="I162" s="17"/>
      <c r="J162" s="18"/>
      <c r="K162" s="35" t="str">
        <f>F23</f>
        <v>Registra datos del alta médica de los pacientes</v>
      </c>
      <c r="L162" s="17"/>
      <c r="M162" s="17"/>
      <c r="N162" s="17"/>
      <c r="O162" s="17"/>
      <c r="P162" s="17"/>
      <c r="Q162" s="17"/>
      <c r="R162" s="17"/>
      <c r="S162" s="17"/>
      <c r="T162" s="17"/>
      <c r="U162" s="17"/>
      <c r="V162" s="17"/>
      <c r="W162" s="18"/>
      <c r="X162" s="56" t="s">
        <v>118</v>
      </c>
      <c r="Y162" s="43" t="str">
        <f>Y68</f>
        <v>002_agregar_columna_check</v>
      </c>
    </row>
    <row r="163" ht="45.0" customHeight="1">
      <c r="A163" s="56" t="s">
        <v>4</v>
      </c>
      <c r="B163" s="56" t="s">
        <v>119</v>
      </c>
      <c r="C163" s="54" t="s">
        <v>120</v>
      </c>
      <c r="D163" s="17"/>
      <c r="E163" s="17"/>
      <c r="F163" s="18"/>
      <c r="G163" s="55" t="s">
        <v>121</v>
      </c>
      <c r="H163" s="17"/>
      <c r="I163" s="17"/>
      <c r="J163" s="18"/>
      <c r="K163" s="54" t="s">
        <v>122</v>
      </c>
      <c r="L163" s="17"/>
      <c r="M163" s="17"/>
      <c r="N163" s="18"/>
      <c r="O163" s="54" t="s">
        <v>123</v>
      </c>
      <c r="P163" s="17"/>
      <c r="Q163" s="18"/>
      <c r="R163" s="54" t="s">
        <v>124</v>
      </c>
      <c r="S163" s="18"/>
      <c r="T163" s="54" t="s">
        <v>125</v>
      </c>
      <c r="U163" s="18"/>
      <c r="V163" s="54" t="s">
        <v>126</v>
      </c>
      <c r="W163" s="18"/>
      <c r="X163" s="55" t="s">
        <v>127</v>
      </c>
      <c r="Y163" s="57" t="s">
        <v>64</v>
      </c>
    </row>
    <row r="164" ht="45.0" customHeight="1">
      <c r="A164" s="58">
        <v>1.0</v>
      </c>
      <c r="B164" s="46" t="s">
        <v>279</v>
      </c>
      <c r="C164" s="47" t="s">
        <v>280</v>
      </c>
      <c r="D164" s="17"/>
      <c r="E164" s="17"/>
      <c r="F164" s="18"/>
      <c r="G164" s="59" t="s">
        <v>173</v>
      </c>
      <c r="H164" s="17"/>
      <c r="I164" s="17"/>
      <c r="J164" s="18"/>
      <c r="K164" s="60">
        <v>10.0</v>
      </c>
      <c r="L164" s="17"/>
      <c r="M164" s="17"/>
      <c r="N164" s="18"/>
      <c r="O164" s="60" t="s">
        <v>130</v>
      </c>
      <c r="P164" s="17"/>
      <c r="Q164" s="18"/>
      <c r="R164" s="60" t="s">
        <v>131</v>
      </c>
      <c r="S164" s="18"/>
      <c r="T164" s="60"/>
      <c r="U164" s="18"/>
      <c r="V164" s="61"/>
      <c r="W164" s="18"/>
      <c r="X164" s="62"/>
      <c r="Y164" s="63" t="s">
        <v>132</v>
      </c>
    </row>
    <row r="165" ht="45.0" customHeight="1">
      <c r="A165" s="58">
        <v>2.0</v>
      </c>
      <c r="B165" s="46" t="s">
        <v>234</v>
      </c>
      <c r="C165" s="47" t="s">
        <v>281</v>
      </c>
      <c r="D165" s="17"/>
      <c r="E165" s="17"/>
      <c r="F165" s="18"/>
      <c r="G165" s="59" t="s">
        <v>187</v>
      </c>
      <c r="H165" s="17"/>
      <c r="I165" s="17"/>
      <c r="J165" s="18"/>
      <c r="K165" s="60">
        <v>20.0</v>
      </c>
      <c r="L165" s="17"/>
      <c r="M165" s="17"/>
      <c r="N165" s="18"/>
      <c r="O165" s="61"/>
      <c r="P165" s="17"/>
      <c r="Q165" s="18"/>
      <c r="R165" s="61"/>
      <c r="S165" s="18"/>
      <c r="T165" s="60"/>
      <c r="U165" s="18"/>
      <c r="V165" s="61"/>
      <c r="W165" s="18"/>
      <c r="X165" s="64" t="str">
        <f>X123</f>
        <v>fecha &lt;= CURRENT_DATE</v>
      </c>
      <c r="Y165" s="63" t="s">
        <v>189</v>
      </c>
    </row>
    <row r="166" ht="45.0" customHeight="1">
      <c r="A166" s="58">
        <v>3.0</v>
      </c>
      <c r="B166" s="46" t="s">
        <v>282</v>
      </c>
      <c r="C166" s="47" t="s">
        <v>283</v>
      </c>
      <c r="D166" s="17"/>
      <c r="E166" s="17"/>
      <c r="F166" s="18"/>
      <c r="G166" s="59" t="s">
        <v>284</v>
      </c>
      <c r="H166" s="17"/>
      <c r="I166" s="17"/>
      <c r="J166" s="18"/>
      <c r="K166" s="60">
        <v>5.0</v>
      </c>
      <c r="L166" s="17"/>
      <c r="M166" s="17"/>
      <c r="N166" s="18"/>
      <c r="O166" s="61"/>
      <c r="P166" s="17"/>
      <c r="Q166" s="18"/>
      <c r="R166" s="61"/>
      <c r="S166" s="18"/>
      <c r="T166" s="60"/>
      <c r="U166" s="18"/>
      <c r="V166" s="61"/>
      <c r="W166" s="18"/>
      <c r="X166" s="62"/>
      <c r="Y166" s="63" t="s">
        <v>163</v>
      </c>
    </row>
    <row r="167" ht="45.0" customHeight="1">
      <c r="A167" s="58">
        <v>4.0</v>
      </c>
      <c r="B167" s="46" t="s">
        <v>236</v>
      </c>
      <c r="C167" s="47" t="s">
        <v>262</v>
      </c>
      <c r="D167" s="17"/>
      <c r="E167" s="17"/>
      <c r="F167" s="18"/>
      <c r="G167" s="59" t="s">
        <v>173</v>
      </c>
      <c r="H167" s="17"/>
      <c r="I167" s="17"/>
      <c r="J167" s="18"/>
      <c r="K167" s="60">
        <v>25.0</v>
      </c>
      <c r="L167" s="17"/>
      <c r="M167" s="17"/>
      <c r="N167" s="18"/>
      <c r="O167" s="60" t="s">
        <v>130</v>
      </c>
      <c r="P167" s="17"/>
      <c r="Q167" s="18"/>
      <c r="R167" s="61"/>
      <c r="S167" s="18"/>
      <c r="T167" s="60" t="s">
        <v>131</v>
      </c>
      <c r="U167" s="18"/>
      <c r="V167" s="61"/>
      <c r="W167" s="18"/>
      <c r="X167" s="62"/>
      <c r="Y167" s="63" t="s">
        <v>263</v>
      </c>
    </row>
    <row r="168" ht="45.0" customHeight="1">
      <c r="A168" s="37"/>
    </row>
    <row r="169" ht="45.0" customHeight="1">
      <c r="A169" s="53">
        <f>A24</f>
        <v>21</v>
      </c>
      <c r="B169" s="54" t="s">
        <v>116</v>
      </c>
      <c r="C169" s="40" t="str">
        <f>B24</f>
        <v>cita</v>
      </c>
      <c r="D169" s="17"/>
      <c r="E169" s="17"/>
      <c r="F169" s="18"/>
      <c r="G169" s="55" t="s">
        <v>117</v>
      </c>
      <c r="H169" s="17"/>
      <c r="I169" s="17"/>
      <c r="J169" s="18"/>
      <c r="K169" s="35" t="str">
        <f>F24</f>
        <v>Registra información sobre las citas médicas</v>
      </c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8"/>
      <c r="X169" s="56" t="s">
        <v>118</v>
      </c>
      <c r="Y169" s="43" t="str">
        <f>Y68</f>
        <v>002_agregar_columna_check</v>
      </c>
    </row>
    <row r="170" ht="45.0" customHeight="1">
      <c r="A170" s="56" t="s">
        <v>4</v>
      </c>
      <c r="B170" s="56" t="s">
        <v>119</v>
      </c>
      <c r="C170" s="54" t="s">
        <v>120</v>
      </c>
      <c r="D170" s="17"/>
      <c r="E170" s="17"/>
      <c r="F170" s="18"/>
      <c r="G170" s="55" t="s">
        <v>121</v>
      </c>
      <c r="H170" s="17"/>
      <c r="I170" s="17"/>
      <c r="J170" s="18"/>
      <c r="K170" s="54" t="s">
        <v>122</v>
      </c>
      <c r="L170" s="17"/>
      <c r="M170" s="17"/>
      <c r="N170" s="18"/>
      <c r="O170" s="54" t="s">
        <v>123</v>
      </c>
      <c r="P170" s="17"/>
      <c r="Q170" s="18"/>
      <c r="R170" s="54" t="s">
        <v>124</v>
      </c>
      <c r="S170" s="18"/>
      <c r="T170" s="54" t="s">
        <v>125</v>
      </c>
      <c r="U170" s="18"/>
      <c r="V170" s="54" t="s">
        <v>126</v>
      </c>
      <c r="W170" s="18"/>
      <c r="X170" s="55" t="s">
        <v>127</v>
      </c>
      <c r="Y170" s="57" t="s">
        <v>64</v>
      </c>
    </row>
    <row r="171" ht="45.0" customHeight="1">
      <c r="A171" s="58">
        <v>1.0</v>
      </c>
      <c r="B171" s="46" t="s">
        <v>285</v>
      </c>
      <c r="C171" s="47" t="s">
        <v>286</v>
      </c>
      <c r="D171" s="17"/>
      <c r="E171" s="17"/>
      <c r="F171" s="18"/>
      <c r="G171" s="59" t="s">
        <v>173</v>
      </c>
      <c r="H171" s="17"/>
      <c r="I171" s="17"/>
      <c r="J171" s="18"/>
      <c r="K171" s="60">
        <v>25.0</v>
      </c>
      <c r="L171" s="17"/>
      <c r="M171" s="17"/>
      <c r="N171" s="18"/>
      <c r="O171" s="60" t="s">
        <v>130</v>
      </c>
      <c r="P171" s="17"/>
      <c r="Q171" s="18"/>
      <c r="R171" s="60" t="s">
        <v>131</v>
      </c>
      <c r="S171" s="18"/>
      <c r="T171" s="60"/>
      <c r="U171" s="18"/>
      <c r="V171" s="61"/>
      <c r="W171" s="18"/>
      <c r="X171" s="62"/>
      <c r="Y171" s="63" t="s">
        <v>132</v>
      </c>
    </row>
    <row r="172" ht="45.0" customHeight="1">
      <c r="A172" s="58">
        <v>2.0</v>
      </c>
      <c r="B172" s="46" t="s">
        <v>234</v>
      </c>
      <c r="C172" s="47" t="s">
        <v>287</v>
      </c>
      <c r="D172" s="17"/>
      <c r="E172" s="17"/>
      <c r="F172" s="18"/>
      <c r="G172" s="59" t="s">
        <v>187</v>
      </c>
      <c r="H172" s="17"/>
      <c r="I172" s="17"/>
      <c r="J172" s="18"/>
      <c r="K172" s="60">
        <v>20.0</v>
      </c>
      <c r="L172" s="17"/>
      <c r="M172" s="17"/>
      <c r="N172" s="18"/>
      <c r="O172" s="60"/>
      <c r="P172" s="17"/>
      <c r="Q172" s="18"/>
      <c r="R172" s="60"/>
      <c r="S172" s="18"/>
      <c r="T172" s="60"/>
      <c r="U172" s="18"/>
      <c r="V172" s="61"/>
      <c r="W172" s="18"/>
      <c r="X172" s="64" t="s">
        <v>288</v>
      </c>
      <c r="Y172" s="63" t="s">
        <v>289</v>
      </c>
    </row>
    <row r="173" ht="45.0" customHeight="1">
      <c r="A173" s="58">
        <v>3.0</v>
      </c>
      <c r="B173" s="46" t="s">
        <v>178</v>
      </c>
      <c r="C173" s="47" t="s">
        <v>204</v>
      </c>
      <c r="D173" s="17"/>
      <c r="E173" s="17"/>
      <c r="F173" s="18"/>
      <c r="G173" s="59" t="s">
        <v>173</v>
      </c>
      <c r="H173" s="17"/>
      <c r="I173" s="17"/>
      <c r="J173" s="18"/>
      <c r="K173" s="60">
        <v>20.0</v>
      </c>
      <c r="L173" s="17"/>
      <c r="M173" s="17"/>
      <c r="N173" s="18"/>
      <c r="O173" s="60" t="s">
        <v>130</v>
      </c>
      <c r="P173" s="17"/>
      <c r="Q173" s="18"/>
      <c r="R173" s="60"/>
      <c r="S173" s="18"/>
      <c r="T173" s="60" t="s">
        <v>131</v>
      </c>
      <c r="U173" s="18"/>
      <c r="V173" s="61"/>
      <c r="W173" s="18"/>
      <c r="X173" s="64"/>
      <c r="Y173" s="63" t="s">
        <v>205</v>
      </c>
    </row>
    <row r="174" ht="45.0" customHeight="1">
      <c r="A174" s="58">
        <v>4.0</v>
      </c>
      <c r="B174" s="46" t="s">
        <v>212</v>
      </c>
      <c r="C174" s="47" t="s">
        <v>249</v>
      </c>
      <c r="D174" s="17"/>
      <c r="E174" s="17"/>
      <c r="F174" s="18"/>
      <c r="G174" s="59" t="s">
        <v>173</v>
      </c>
      <c r="H174" s="17"/>
      <c r="I174" s="17"/>
      <c r="J174" s="18"/>
      <c r="K174" s="60">
        <v>20.0</v>
      </c>
      <c r="L174" s="17"/>
      <c r="M174" s="17"/>
      <c r="N174" s="18"/>
      <c r="O174" s="60" t="s">
        <v>130</v>
      </c>
      <c r="P174" s="17"/>
      <c r="Q174" s="18"/>
      <c r="R174" s="60"/>
      <c r="S174" s="18"/>
      <c r="T174" s="60" t="s">
        <v>131</v>
      </c>
      <c r="U174" s="18"/>
      <c r="V174" s="61"/>
      <c r="W174" s="18"/>
      <c r="X174" s="62"/>
      <c r="Y174" s="63" t="s">
        <v>250</v>
      </c>
    </row>
    <row r="175" ht="45.0" customHeight="1">
      <c r="A175" s="58">
        <v>5.0</v>
      </c>
      <c r="B175" s="46" t="s">
        <v>244</v>
      </c>
      <c r="C175" s="47" t="s">
        <v>257</v>
      </c>
      <c r="D175" s="17"/>
      <c r="E175" s="17"/>
      <c r="F175" s="18"/>
      <c r="G175" s="59" t="s">
        <v>173</v>
      </c>
      <c r="H175" s="17"/>
      <c r="I175" s="17"/>
      <c r="J175" s="18"/>
      <c r="K175" s="60">
        <v>25.0</v>
      </c>
      <c r="L175" s="17"/>
      <c r="M175" s="17"/>
      <c r="N175" s="18"/>
      <c r="O175" s="60" t="s">
        <v>130</v>
      </c>
      <c r="P175" s="17"/>
      <c r="Q175" s="18"/>
      <c r="R175" s="60"/>
      <c r="S175" s="18"/>
      <c r="T175" s="60" t="s">
        <v>131</v>
      </c>
      <c r="U175" s="18"/>
      <c r="V175" s="61"/>
      <c r="W175" s="18"/>
      <c r="X175" s="62"/>
      <c r="Y175" s="63" t="s">
        <v>258</v>
      </c>
    </row>
    <row r="176" ht="45.0" customHeight="1">
      <c r="A176" s="37"/>
    </row>
    <row r="177" ht="45.0" customHeight="1">
      <c r="A177" s="53">
        <f>A25</f>
        <v>22</v>
      </c>
      <c r="B177" s="54" t="s">
        <v>116</v>
      </c>
      <c r="C177" s="40" t="str">
        <f>B25</f>
        <v>visita</v>
      </c>
      <c r="D177" s="17"/>
      <c r="E177" s="17"/>
      <c r="F177" s="18"/>
      <c r="G177" s="55" t="s">
        <v>117</v>
      </c>
      <c r="H177" s="17"/>
      <c r="I177" s="17"/>
      <c r="J177" s="18"/>
      <c r="K177" s="35" t="str">
        <f>F25</f>
        <v>Registra las visitas realizadas a los pacientes</v>
      </c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8"/>
      <c r="X177" s="56" t="s">
        <v>118</v>
      </c>
      <c r="Y177" s="43" t="str">
        <f>Y68</f>
        <v>002_agregar_columna_check</v>
      </c>
    </row>
    <row r="178" ht="45.0" customHeight="1">
      <c r="A178" s="56" t="s">
        <v>4</v>
      </c>
      <c r="B178" s="56" t="s">
        <v>119</v>
      </c>
      <c r="C178" s="54" t="s">
        <v>120</v>
      </c>
      <c r="D178" s="17"/>
      <c r="E178" s="17"/>
      <c r="F178" s="18"/>
      <c r="G178" s="55" t="s">
        <v>121</v>
      </c>
      <c r="H178" s="17"/>
      <c r="I178" s="17"/>
      <c r="J178" s="18"/>
      <c r="K178" s="54" t="s">
        <v>122</v>
      </c>
      <c r="L178" s="17"/>
      <c r="M178" s="17"/>
      <c r="N178" s="18"/>
      <c r="O178" s="54" t="s">
        <v>123</v>
      </c>
      <c r="P178" s="17"/>
      <c r="Q178" s="18"/>
      <c r="R178" s="54" t="s">
        <v>124</v>
      </c>
      <c r="S178" s="18"/>
      <c r="T178" s="54" t="s">
        <v>125</v>
      </c>
      <c r="U178" s="18"/>
      <c r="V178" s="54" t="s">
        <v>126</v>
      </c>
      <c r="W178" s="18"/>
      <c r="X178" s="55" t="s">
        <v>127</v>
      </c>
      <c r="Y178" s="57" t="s">
        <v>64</v>
      </c>
    </row>
    <row r="179" ht="45.0" customHeight="1">
      <c r="A179" s="58">
        <v>1.0</v>
      </c>
      <c r="B179" s="46" t="s">
        <v>290</v>
      </c>
      <c r="C179" s="47" t="s">
        <v>291</v>
      </c>
      <c r="D179" s="17"/>
      <c r="E179" s="17"/>
      <c r="F179" s="18"/>
      <c r="G179" s="59" t="s">
        <v>173</v>
      </c>
      <c r="H179" s="17"/>
      <c r="I179" s="17"/>
      <c r="J179" s="18"/>
      <c r="K179" s="60">
        <v>20.0</v>
      </c>
      <c r="L179" s="17"/>
      <c r="M179" s="17"/>
      <c r="N179" s="18"/>
      <c r="O179" s="60" t="s">
        <v>130</v>
      </c>
      <c r="P179" s="17"/>
      <c r="Q179" s="18"/>
      <c r="R179" s="60" t="s">
        <v>131</v>
      </c>
      <c r="S179" s="18"/>
      <c r="T179" s="60"/>
      <c r="U179" s="18"/>
      <c r="V179" s="61"/>
      <c r="W179" s="18"/>
      <c r="X179" s="62"/>
      <c r="Y179" s="63" t="s">
        <v>132</v>
      </c>
    </row>
    <row r="180" ht="45.0" customHeight="1">
      <c r="A180" s="58">
        <v>2.0</v>
      </c>
      <c r="B180" s="46" t="s">
        <v>133</v>
      </c>
      <c r="C180" s="47" t="s">
        <v>292</v>
      </c>
      <c r="D180" s="17"/>
      <c r="E180" s="17"/>
      <c r="F180" s="18"/>
      <c r="G180" s="59" t="s">
        <v>173</v>
      </c>
      <c r="H180" s="17"/>
      <c r="I180" s="17"/>
      <c r="J180" s="18"/>
      <c r="K180" s="60">
        <v>40.0</v>
      </c>
      <c r="L180" s="17"/>
      <c r="M180" s="17"/>
      <c r="N180" s="18"/>
      <c r="O180" s="60"/>
      <c r="P180" s="17"/>
      <c r="Q180" s="18"/>
      <c r="R180" s="60"/>
      <c r="S180" s="18"/>
      <c r="T180" s="60"/>
      <c r="U180" s="18"/>
      <c r="V180" s="61"/>
      <c r="W180" s="18"/>
      <c r="X180" s="62" t="str">
        <f t="shared" ref="X180:X181" si="5">X71</f>
        <v>nombre &lt;&gt; ''</v>
      </c>
      <c r="Y180" s="63" t="s">
        <v>132</v>
      </c>
    </row>
    <row r="181" ht="45.0" customHeight="1">
      <c r="A181" s="58">
        <v>3.0</v>
      </c>
      <c r="B181" s="46" t="s">
        <v>182</v>
      </c>
      <c r="C181" s="47" t="s">
        <v>293</v>
      </c>
      <c r="D181" s="17"/>
      <c r="E181" s="17"/>
      <c r="F181" s="18"/>
      <c r="G181" s="59" t="s">
        <v>173</v>
      </c>
      <c r="H181" s="17"/>
      <c r="I181" s="17"/>
      <c r="J181" s="18"/>
      <c r="K181" s="60">
        <v>40.0</v>
      </c>
      <c r="L181" s="17"/>
      <c r="M181" s="17"/>
      <c r="N181" s="18"/>
      <c r="O181" s="60"/>
      <c r="P181" s="17"/>
      <c r="Q181" s="18"/>
      <c r="R181" s="60"/>
      <c r="S181" s="18"/>
      <c r="T181" s="60"/>
      <c r="U181" s="18"/>
      <c r="V181" s="61"/>
      <c r="W181" s="18"/>
      <c r="X181" s="62" t="str">
        <f t="shared" si="5"/>
        <v>apellido &lt;&gt; ''</v>
      </c>
      <c r="Y181" s="63" t="s">
        <v>132</v>
      </c>
    </row>
    <row r="182" ht="45.0" customHeight="1">
      <c r="A182" s="58">
        <v>4.0</v>
      </c>
      <c r="B182" s="46" t="s">
        <v>234</v>
      </c>
      <c r="C182" s="47" t="s">
        <v>294</v>
      </c>
      <c r="D182" s="17"/>
      <c r="E182" s="17"/>
      <c r="F182" s="18"/>
      <c r="G182" s="59" t="s">
        <v>187</v>
      </c>
      <c r="H182" s="17"/>
      <c r="I182" s="17"/>
      <c r="J182" s="18"/>
      <c r="K182" s="60">
        <v>20.0</v>
      </c>
      <c r="L182" s="17"/>
      <c r="M182" s="17"/>
      <c r="N182" s="18"/>
      <c r="O182" s="60"/>
      <c r="P182" s="17"/>
      <c r="Q182" s="18"/>
      <c r="R182" s="60"/>
      <c r="S182" s="18"/>
      <c r="T182" s="60"/>
      <c r="U182" s="18"/>
      <c r="V182" s="61"/>
      <c r="W182" s="18"/>
      <c r="X182" s="62" t="str">
        <f>X123</f>
        <v>fecha &lt;= CURRENT_DATE</v>
      </c>
      <c r="Y182" s="63" t="s">
        <v>189</v>
      </c>
    </row>
    <row r="183" ht="45.0" customHeight="1">
      <c r="A183" s="58">
        <v>5.0</v>
      </c>
      <c r="B183" s="46" t="s">
        <v>266</v>
      </c>
      <c r="C183" s="47" t="s">
        <v>295</v>
      </c>
      <c r="D183" s="17"/>
      <c r="E183" s="17"/>
      <c r="F183" s="18"/>
      <c r="G183" s="59" t="s">
        <v>173</v>
      </c>
      <c r="H183" s="17"/>
      <c r="I183" s="17"/>
      <c r="J183" s="18"/>
      <c r="K183" s="60">
        <v>20.0</v>
      </c>
      <c r="L183" s="17"/>
      <c r="M183" s="17"/>
      <c r="N183" s="18"/>
      <c r="O183" s="60" t="s">
        <v>130</v>
      </c>
      <c r="P183" s="17"/>
      <c r="Q183" s="18"/>
      <c r="R183" s="60"/>
      <c r="S183" s="18"/>
      <c r="T183" s="60" t="s">
        <v>131</v>
      </c>
      <c r="U183" s="18"/>
      <c r="V183" s="61"/>
      <c r="W183" s="18"/>
      <c r="X183" s="62"/>
      <c r="Y183" s="63" t="s">
        <v>278</v>
      </c>
    </row>
    <row r="184" ht="45.0" customHeight="1">
      <c r="A184" s="58">
        <v>6.0</v>
      </c>
      <c r="B184" s="46" t="s">
        <v>228</v>
      </c>
      <c r="C184" s="47" t="s">
        <v>296</v>
      </c>
      <c r="D184" s="17"/>
      <c r="E184" s="17"/>
      <c r="F184" s="18"/>
      <c r="G184" s="59" t="s">
        <v>173</v>
      </c>
      <c r="H184" s="17"/>
      <c r="I184" s="17"/>
      <c r="J184" s="18"/>
      <c r="K184" s="60">
        <v>25.0</v>
      </c>
      <c r="L184" s="17"/>
      <c r="M184" s="17"/>
      <c r="N184" s="18"/>
      <c r="O184" s="60" t="s">
        <v>130</v>
      </c>
      <c r="P184" s="17"/>
      <c r="Q184" s="18"/>
      <c r="R184" s="60"/>
      <c r="S184" s="18"/>
      <c r="T184" s="60" t="s">
        <v>131</v>
      </c>
      <c r="U184" s="18"/>
      <c r="V184" s="61"/>
      <c r="W184" s="18"/>
      <c r="X184" s="62"/>
      <c r="Y184" s="63" t="s">
        <v>297</v>
      </c>
    </row>
    <row r="185" ht="45.0" customHeight="1">
      <c r="A185" s="37"/>
    </row>
    <row r="186" ht="45.0" customHeight="1">
      <c r="A186" s="53">
        <f>A26</f>
        <v>23</v>
      </c>
      <c r="B186" s="54" t="s">
        <v>116</v>
      </c>
      <c r="C186" s="40" t="str">
        <f>B26</f>
        <v>telefono</v>
      </c>
      <c r="D186" s="17"/>
      <c r="E186" s="17"/>
      <c r="F186" s="18"/>
      <c r="G186" s="55" t="s">
        <v>117</v>
      </c>
      <c r="H186" s="17"/>
      <c r="I186" s="17"/>
      <c r="J186" s="18"/>
      <c r="K186" s="35" t="str">
        <f>F26</f>
        <v>Registra teléfonos de pacientes, médicos y familiares</v>
      </c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8"/>
      <c r="X186" s="56" t="s">
        <v>118</v>
      </c>
      <c r="Y186" s="43" t="str">
        <f>Y68</f>
        <v>002_agregar_columna_check</v>
      </c>
    </row>
    <row r="187" ht="45.0" customHeight="1">
      <c r="A187" s="56" t="s">
        <v>4</v>
      </c>
      <c r="B187" s="56" t="s">
        <v>119</v>
      </c>
      <c r="C187" s="54" t="s">
        <v>120</v>
      </c>
      <c r="D187" s="17"/>
      <c r="E187" s="17"/>
      <c r="F187" s="18"/>
      <c r="G187" s="55" t="s">
        <v>121</v>
      </c>
      <c r="H187" s="17"/>
      <c r="I187" s="17"/>
      <c r="J187" s="18"/>
      <c r="K187" s="54" t="s">
        <v>122</v>
      </c>
      <c r="L187" s="17"/>
      <c r="M187" s="17"/>
      <c r="N187" s="18"/>
      <c r="O187" s="54" t="s">
        <v>123</v>
      </c>
      <c r="P187" s="17"/>
      <c r="Q187" s="18"/>
      <c r="R187" s="54" t="s">
        <v>124</v>
      </c>
      <c r="S187" s="18"/>
      <c r="T187" s="54" t="s">
        <v>125</v>
      </c>
      <c r="U187" s="18"/>
      <c r="V187" s="54" t="s">
        <v>126</v>
      </c>
      <c r="W187" s="18"/>
      <c r="X187" s="55" t="s">
        <v>127</v>
      </c>
      <c r="Y187" s="57" t="s">
        <v>64</v>
      </c>
    </row>
    <row r="188" ht="45.0" customHeight="1">
      <c r="A188" s="58">
        <v>1.0</v>
      </c>
      <c r="B188" s="46" t="s">
        <v>298</v>
      </c>
      <c r="C188" s="47" t="s">
        <v>299</v>
      </c>
      <c r="D188" s="17"/>
      <c r="E188" s="17"/>
      <c r="F188" s="18"/>
      <c r="G188" s="59" t="s">
        <v>173</v>
      </c>
      <c r="H188" s="17"/>
      <c r="I188" s="17"/>
      <c r="J188" s="18"/>
      <c r="K188" s="60">
        <v>15.0</v>
      </c>
      <c r="L188" s="17"/>
      <c r="M188" s="17"/>
      <c r="N188" s="18"/>
      <c r="O188" s="60" t="s">
        <v>130</v>
      </c>
      <c r="P188" s="17"/>
      <c r="Q188" s="18"/>
      <c r="R188" s="60" t="s">
        <v>131</v>
      </c>
      <c r="S188" s="18"/>
      <c r="T188" s="60"/>
      <c r="U188" s="18"/>
      <c r="V188" s="61"/>
      <c r="W188" s="18"/>
      <c r="X188" s="62"/>
      <c r="Y188" s="63" t="s">
        <v>132</v>
      </c>
    </row>
    <row r="189" ht="45.0" customHeight="1">
      <c r="A189" s="58">
        <v>2.0</v>
      </c>
      <c r="B189" s="46" t="s">
        <v>157</v>
      </c>
      <c r="C189" s="47" t="s">
        <v>300</v>
      </c>
      <c r="D189" s="17"/>
      <c r="E189" s="17"/>
      <c r="F189" s="18"/>
      <c r="G189" s="59" t="s">
        <v>173</v>
      </c>
      <c r="H189" s="17"/>
      <c r="I189" s="17"/>
      <c r="J189" s="18"/>
      <c r="K189" s="60">
        <v>20.0</v>
      </c>
      <c r="L189" s="17"/>
      <c r="M189" s="17"/>
      <c r="N189" s="18"/>
      <c r="O189" s="60"/>
      <c r="P189" s="17"/>
      <c r="Q189" s="18"/>
      <c r="R189" s="60"/>
      <c r="S189" s="18"/>
      <c r="T189" s="60"/>
      <c r="U189" s="18"/>
      <c r="V189" s="61"/>
      <c r="W189" s="18"/>
      <c r="X189" s="64" t="s">
        <v>301</v>
      </c>
      <c r="Y189" s="63" t="s">
        <v>132</v>
      </c>
    </row>
    <row r="190" ht="45.0" customHeight="1">
      <c r="A190" s="58">
        <v>3.0</v>
      </c>
      <c r="B190" s="46" t="s">
        <v>238</v>
      </c>
      <c r="C190" s="47" t="s">
        <v>302</v>
      </c>
      <c r="D190" s="17"/>
      <c r="E190" s="17"/>
      <c r="F190" s="18"/>
      <c r="G190" s="59" t="s">
        <v>173</v>
      </c>
      <c r="H190" s="17"/>
      <c r="I190" s="17"/>
      <c r="J190" s="18"/>
      <c r="K190" s="60">
        <v>20.0</v>
      </c>
      <c r="L190" s="17"/>
      <c r="M190" s="17"/>
      <c r="N190" s="18"/>
      <c r="O190" s="60"/>
      <c r="P190" s="17"/>
      <c r="Q190" s="18"/>
      <c r="R190" s="60"/>
      <c r="S190" s="18"/>
      <c r="T190" s="60"/>
      <c r="U190" s="18"/>
      <c r="V190" s="61"/>
      <c r="W190" s="18"/>
      <c r="X190" s="64" t="s">
        <v>303</v>
      </c>
      <c r="Y190" s="63" t="s">
        <v>241</v>
      </c>
    </row>
    <row r="191" ht="45.0" customHeight="1">
      <c r="A191" s="58">
        <v>4.0</v>
      </c>
      <c r="B191" s="46" t="s">
        <v>178</v>
      </c>
      <c r="C191" s="47" t="s">
        <v>204</v>
      </c>
      <c r="D191" s="17"/>
      <c r="E191" s="17"/>
      <c r="F191" s="18"/>
      <c r="G191" s="59" t="s">
        <v>173</v>
      </c>
      <c r="H191" s="17"/>
      <c r="I191" s="17"/>
      <c r="J191" s="18"/>
      <c r="K191" s="60">
        <v>20.0</v>
      </c>
      <c r="L191" s="17"/>
      <c r="M191" s="17"/>
      <c r="N191" s="18"/>
      <c r="O191" s="60" t="s">
        <v>130</v>
      </c>
      <c r="P191" s="17"/>
      <c r="Q191" s="18"/>
      <c r="R191" s="60"/>
      <c r="S191" s="18"/>
      <c r="T191" s="60" t="s">
        <v>131</v>
      </c>
      <c r="U191" s="18"/>
      <c r="V191" s="61"/>
      <c r="W191" s="18"/>
      <c r="X191" s="64"/>
      <c r="Y191" s="63" t="s">
        <v>205</v>
      </c>
    </row>
    <row r="192" ht="45.0" customHeight="1">
      <c r="A192" s="58">
        <v>5.0</v>
      </c>
      <c r="B192" s="46" t="s">
        <v>212</v>
      </c>
      <c r="C192" s="47" t="s">
        <v>249</v>
      </c>
      <c r="D192" s="17"/>
      <c r="E192" s="17"/>
      <c r="F192" s="18"/>
      <c r="G192" s="59" t="s">
        <v>173</v>
      </c>
      <c r="H192" s="17"/>
      <c r="I192" s="17"/>
      <c r="J192" s="18"/>
      <c r="K192" s="60">
        <v>20.0</v>
      </c>
      <c r="L192" s="17"/>
      <c r="M192" s="17"/>
      <c r="N192" s="18"/>
      <c r="O192" s="60" t="s">
        <v>130</v>
      </c>
      <c r="P192" s="17"/>
      <c r="Q192" s="18"/>
      <c r="R192" s="60"/>
      <c r="S192" s="18"/>
      <c r="T192" s="60" t="s">
        <v>131</v>
      </c>
      <c r="U192" s="18"/>
      <c r="V192" s="61"/>
      <c r="W192" s="18"/>
      <c r="X192" s="64"/>
      <c r="Y192" s="63" t="s">
        <v>250</v>
      </c>
    </row>
    <row r="193" ht="45.0" customHeight="1">
      <c r="A193" s="58">
        <v>6.0</v>
      </c>
      <c r="B193" s="46" t="s">
        <v>196</v>
      </c>
      <c r="C193" s="47" t="s">
        <v>272</v>
      </c>
      <c r="D193" s="17"/>
      <c r="E193" s="17"/>
      <c r="F193" s="18"/>
      <c r="G193" s="59" t="s">
        <v>173</v>
      </c>
      <c r="H193" s="17"/>
      <c r="I193" s="17"/>
      <c r="J193" s="18"/>
      <c r="K193" s="60">
        <v>20.0</v>
      </c>
      <c r="L193" s="17"/>
      <c r="M193" s="17"/>
      <c r="N193" s="18"/>
      <c r="O193" s="60" t="s">
        <v>130</v>
      </c>
      <c r="P193" s="17"/>
      <c r="Q193" s="18"/>
      <c r="R193" s="60"/>
      <c r="S193" s="18"/>
      <c r="T193" s="60" t="s">
        <v>131</v>
      </c>
      <c r="U193" s="18"/>
      <c r="V193" s="61"/>
      <c r="W193" s="18"/>
      <c r="X193" s="64"/>
      <c r="Y193" s="63" t="s">
        <v>273</v>
      </c>
    </row>
    <row r="194" ht="45.0" customHeight="1">
      <c r="A194" s="37"/>
    </row>
    <row r="195" ht="45.0" customHeight="1">
      <c r="A195" s="53">
        <f>A27</f>
        <v>24</v>
      </c>
      <c r="B195" s="54" t="s">
        <v>116</v>
      </c>
      <c r="C195" s="40" t="str">
        <f>B27</f>
        <v>consulta</v>
      </c>
      <c r="D195" s="17"/>
      <c r="E195" s="17"/>
      <c r="F195" s="18"/>
      <c r="G195" s="55" t="s">
        <v>117</v>
      </c>
      <c r="H195" s="17"/>
      <c r="I195" s="17"/>
      <c r="J195" s="18"/>
      <c r="K195" s="35" t="str">
        <f>F27</f>
        <v>Registra las consultas médicas realizadas a los pacientes</v>
      </c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8"/>
      <c r="X195" s="56" t="s">
        <v>118</v>
      </c>
      <c r="Y195" s="43" t="str">
        <f>Y68</f>
        <v>002_agregar_columna_check</v>
      </c>
    </row>
    <row r="196" ht="45.0" customHeight="1">
      <c r="A196" s="56" t="s">
        <v>4</v>
      </c>
      <c r="B196" s="56" t="s">
        <v>119</v>
      </c>
      <c r="C196" s="54" t="s">
        <v>120</v>
      </c>
      <c r="D196" s="17"/>
      <c r="E196" s="17"/>
      <c r="F196" s="18"/>
      <c r="G196" s="55" t="s">
        <v>121</v>
      </c>
      <c r="H196" s="17"/>
      <c r="I196" s="17"/>
      <c r="J196" s="18"/>
      <c r="K196" s="54" t="s">
        <v>122</v>
      </c>
      <c r="L196" s="17"/>
      <c r="M196" s="17"/>
      <c r="N196" s="18"/>
      <c r="O196" s="54" t="s">
        <v>123</v>
      </c>
      <c r="P196" s="17"/>
      <c r="Q196" s="18"/>
      <c r="R196" s="54" t="s">
        <v>124</v>
      </c>
      <c r="S196" s="18"/>
      <c r="T196" s="54" t="s">
        <v>125</v>
      </c>
      <c r="U196" s="18"/>
      <c r="V196" s="54" t="s">
        <v>126</v>
      </c>
      <c r="W196" s="18"/>
      <c r="X196" s="55" t="s">
        <v>127</v>
      </c>
      <c r="Y196" s="57" t="s">
        <v>64</v>
      </c>
    </row>
    <row r="197" ht="45.0" customHeight="1">
      <c r="A197" s="58">
        <v>1.0</v>
      </c>
      <c r="B197" s="46" t="s">
        <v>304</v>
      </c>
      <c r="C197" s="47" t="s">
        <v>305</v>
      </c>
      <c r="D197" s="17"/>
      <c r="E197" s="17"/>
      <c r="F197" s="18"/>
      <c r="G197" s="59" t="s">
        <v>173</v>
      </c>
      <c r="H197" s="17"/>
      <c r="I197" s="17"/>
      <c r="J197" s="18"/>
      <c r="K197" s="60">
        <v>20.0</v>
      </c>
      <c r="L197" s="17"/>
      <c r="M197" s="17"/>
      <c r="N197" s="18"/>
      <c r="O197" s="60" t="s">
        <v>130</v>
      </c>
      <c r="P197" s="17"/>
      <c r="Q197" s="18"/>
      <c r="R197" s="60" t="s">
        <v>131</v>
      </c>
      <c r="S197" s="18"/>
      <c r="T197" s="60"/>
      <c r="U197" s="18"/>
      <c r="V197" s="61"/>
      <c r="W197" s="18"/>
      <c r="X197" s="62"/>
      <c r="Y197" s="63" t="s">
        <v>132</v>
      </c>
    </row>
    <row r="198" ht="45.0" customHeight="1">
      <c r="A198" s="58">
        <v>2.0</v>
      </c>
      <c r="B198" s="46" t="s">
        <v>234</v>
      </c>
      <c r="C198" s="47" t="s">
        <v>306</v>
      </c>
      <c r="D198" s="17"/>
      <c r="E198" s="17"/>
      <c r="F198" s="18"/>
      <c r="G198" s="59" t="s">
        <v>187</v>
      </c>
      <c r="H198" s="17"/>
      <c r="I198" s="17"/>
      <c r="J198" s="18"/>
      <c r="K198" s="60">
        <v>20.0</v>
      </c>
      <c r="L198" s="17"/>
      <c r="M198" s="17"/>
      <c r="N198" s="18"/>
      <c r="O198" s="60"/>
      <c r="P198" s="17"/>
      <c r="Q198" s="18"/>
      <c r="R198" s="60"/>
      <c r="S198" s="18"/>
      <c r="T198" s="60"/>
      <c r="U198" s="18"/>
      <c r="V198" s="61"/>
      <c r="W198" s="18"/>
      <c r="X198" s="62" t="str">
        <f>X123</f>
        <v>fecha &lt;= CURRENT_DATE</v>
      </c>
      <c r="Y198" s="63" t="s">
        <v>189</v>
      </c>
    </row>
    <row r="199" ht="45.0" customHeight="1">
      <c r="A199" s="58">
        <v>3.0</v>
      </c>
      <c r="B199" s="46" t="s">
        <v>178</v>
      </c>
      <c r="C199" s="47" t="s">
        <v>204</v>
      </c>
      <c r="D199" s="17"/>
      <c r="E199" s="17"/>
      <c r="F199" s="18"/>
      <c r="G199" s="59" t="s">
        <v>173</v>
      </c>
      <c r="H199" s="17"/>
      <c r="I199" s="17"/>
      <c r="J199" s="18"/>
      <c r="K199" s="60">
        <v>25.0</v>
      </c>
      <c r="L199" s="17"/>
      <c r="M199" s="17"/>
      <c r="N199" s="18"/>
      <c r="O199" s="60" t="s">
        <v>130</v>
      </c>
      <c r="P199" s="17"/>
      <c r="Q199" s="18"/>
      <c r="R199" s="60"/>
      <c r="S199" s="18"/>
      <c r="T199" s="60" t="s">
        <v>131</v>
      </c>
      <c r="U199" s="18"/>
      <c r="V199" s="61"/>
      <c r="W199" s="18"/>
      <c r="X199" s="62"/>
      <c r="Y199" s="63" t="s">
        <v>205</v>
      </c>
    </row>
    <row r="200" ht="45.0" customHeight="1">
      <c r="A200" s="58">
        <v>4.0</v>
      </c>
      <c r="B200" s="46" t="s">
        <v>212</v>
      </c>
      <c r="C200" s="47" t="s">
        <v>249</v>
      </c>
      <c r="D200" s="17"/>
      <c r="E200" s="17"/>
      <c r="F200" s="18"/>
      <c r="G200" s="59" t="s">
        <v>173</v>
      </c>
      <c r="H200" s="17"/>
      <c r="I200" s="17"/>
      <c r="J200" s="18"/>
      <c r="K200" s="60">
        <v>25.0</v>
      </c>
      <c r="L200" s="17"/>
      <c r="M200" s="17"/>
      <c r="N200" s="18"/>
      <c r="O200" s="60" t="s">
        <v>130</v>
      </c>
      <c r="P200" s="17"/>
      <c r="Q200" s="18"/>
      <c r="R200" s="60"/>
      <c r="S200" s="18"/>
      <c r="T200" s="60" t="s">
        <v>131</v>
      </c>
      <c r="U200" s="18"/>
      <c r="V200" s="61"/>
      <c r="W200" s="18"/>
      <c r="X200" s="62"/>
      <c r="Y200" s="63" t="s">
        <v>250</v>
      </c>
    </row>
    <row r="201" ht="45.0" customHeight="1">
      <c r="A201" s="58">
        <v>5.0</v>
      </c>
      <c r="B201" s="46" t="s">
        <v>251</v>
      </c>
      <c r="C201" s="47" t="s">
        <v>307</v>
      </c>
      <c r="D201" s="17"/>
      <c r="E201" s="17"/>
      <c r="F201" s="18"/>
      <c r="G201" s="59" t="s">
        <v>173</v>
      </c>
      <c r="H201" s="17"/>
      <c r="I201" s="17"/>
      <c r="J201" s="18"/>
      <c r="K201" s="60">
        <v>25.0</v>
      </c>
      <c r="L201" s="17"/>
      <c r="M201" s="17"/>
      <c r="N201" s="18"/>
      <c r="O201" s="60" t="s">
        <v>130</v>
      </c>
      <c r="P201" s="17"/>
      <c r="Q201" s="18"/>
      <c r="R201" s="60"/>
      <c r="S201" s="18"/>
      <c r="T201" s="60" t="s">
        <v>131</v>
      </c>
      <c r="U201" s="18"/>
      <c r="V201" s="61"/>
      <c r="W201" s="18"/>
      <c r="X201" s="62"/>
      <c r="Y201" s="63" t="s">
        <v>308</v>
      </c>
    </row>
    <row r="202" ht="45.0" customHeight="1">
      <c r="A202" s="37"/>
    </row>
    <row r="203" ht="45.0" customHeight="1">
      <c r="A203" s="53">
        <f>A28</f>
        <v>25</v>
      </c>
      <c r="B203" s="54" t="s">
        <v>116</v>
      </c>
      <c r="C203" s="40" t="str">
        <f>B28</f>
        <v>prescripcion</v>
      </c>
      <c r="D203" s="17"/>
      <c r="E203" s="17"/>
      <c r="F203" s="18"/>
      <c r="G203" s="55" t="s">
        <v>117</v>
      </c>
      <c r="H203" s="17"/>
      <c r="I203" s="17"/>
      <c r="J203" s="18"/>
      <c r="K203" s="35" t="str">
        <f>F28</f>
        <v>Registra prescripciones de medicamentos</v>
      </c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8"/>
      <c r="X203" s="56" t="s">
        <v>118</v>
      </c>
      <c r="Y203" s="43" t="str">
        <f>Y68</f>
        <v>002_agregar_columna_check</v>
      </c>
    </row>
    <row r="204" ht="45.0" customHeight="1">
      <c r="A204" s="56" t="s">
        <v>4</v>
      </c>
      <c r="B204" s="56" t="s">
        <v>119</v>
      </c>
      <c r="C204" s="54" t="s">
        <v>120</v>
      </c>
      <c r="D204" s="17"/>
      <c r="E204" s="17"/>
      <c r="F204" s="18"/>
      <c r="G204" s="55" t="s">
        <v>121</v>
      </c>
      <c r="H204" s="17"/>
      <c r="I204" s="17"/>
      <c r="J204" s="18"/>
      <c r="K204" s="54" t="s">
        <v>122</v>
      </c>
      <c r="L204" s="17"/>
      <c r="M204" s="17"/>
      <c r="N204" s="18"/>
      <c r="O204" s="54" t="s">
        <v>123</v>
      </c>
      <c r="P204" s="17"/>
      <c r="Q204" s="18"/>
      <c r="R204" s="54" t="s">
        <v>124</v>
      </c>
      <c r="S204" s="18"/>
      <c r="T204" s="54" t="s">
        <v>125</v>
      </c>
      <c r="U204" s="18"/>
      <c r="V204" s="54" t="s">
        <v>126</v>
      </c>
      <c r="W204" s="18"/>
      <c r="X204" s="55" t="s">
        <v>127</v>
      </c>
      <c r="Y204" s="57" t="s">
        <v>64</v>
      </c>
    </row>
    <row r="205" ht="45.0" customHeight="1">
      <c r="A205" s="58">
        <v>1.0</v>
      </c>
      <c r="B205" s="46" t="s">
        <v>309</v>
      </c>
      <c r="C205" s="47" t="s">
        <v>310</v>
      </c>
      <c r="D205" s="17"/>
      <c r="E205" s="17"/>
      <c r="F205" s="18"/>
      <c r="G205" s="59" t="s">
        <v>173</v>
      </c>
      <c r="H205" s="17"/>
      <c r="I205" s="17"/>
      <c r="J205" s="18"/>
      <c r="K205" s="60">
        <v>20.0</v>
      </c>
      <c r="L205" s="17"/>
      <c r="M205" s="17"/>
      <c r="N205" s="18"/>
      <c r="O205" s="60" t="s">
        <v>130</v>
      </c>
      <c r="P205" s="17"/>
      <c r="Q205" s="18"/>
      <c r="R205" s="60" t="s">
        <v>131</v>
      </c>
      <c r="S205" s="18"/>
      <c r="T205" s="60"/>
      <c r="U205" s="18"/>
      <c r="V205" s="61"/>
      <c r="W205" s="18"/>
      <c r="X205" s="62"/>
      <c r="Y205" s="63" t="s">
        <v>132</v>
      </c>
    </row>
    <row r="206" ht="45.0" customHeight="1">
      <c r="A206" s="58">
        <v>2.0</v>
      </c>
      <c r="B206" s="46" t="s">
        <v>234</v>
      </c>
      <c r="C206" s="47" t="s">
        <v>311</v>
      </c>
      <c r="D206" s="17"/>
      <c r="E206" s="17"/>
      <c r="F206" s="18"/>
      <c r="G206" s="59" t="s">
        <v>187</v>
      </c>
      <c r="H206" s="17"/>
      <c r="I206" s="17"/>
      <c r="J206" s="18"/>
      <c r="K206" s="60">
        <v>20.0</v>
      </c>
      <c r="L206" s="17"/>
      <c r="M206" s="17"/>
      <c r="N206" s="18"/>
      <c r="O206" s="60"/>
      <c r="P206" s="17"/>
      <c r="Q206" s="18"/>
      <c r="R206" s="60"/>
      <c r="S206" s="18"/>
      <c r="T206" s="60"/>
      <c r="U206" s="18"/>
      <c r="V206" s="61"/>
      <c r="W206" s="18"/>
      <c r="X206" s="62" t="str">
        <f>X123</f>
        <v>fecha &lt;= CURRENT_DATE</v>
      </c>
      <c r="Y206" s="63" t="s">
        <v>189</v>
      </c>
    </row>
    <row r="207" ht="45.0" customHeight="1">
      <c r="A207" s="58">
        <v>3.0</v>
      </c>
      <c r="B207" s="46" t="s">
        <v>251</v>
      </c>
      <c r="C207" s="47" t="s">
        <v>307</v>
      </c>
      <c r="D207" s="17"/>
      <c r="E207" s="17"/>
      <c r="F207" s="18"/>
      <c r="G207" s="59" t="s">
        <v>173</v>
      </c>
      <c r="H207" s="17"/>
      <c r="I207" s="17"/>
      <c r="J207" s="18"/>
      <c r="K207" s="60">
        <v>20.0</v>
      </c>
      <c r="L207" s="17"/>
      <c r="M207" s="17"/>
      <c r="N207" s="18"/>
      <c r="O207" s="60" t="s">
        <v>130</v>
      </c>
      <c r="P207" s="17"/>
      <c r="Q207" s="18"/>
      <c r="R207" s="60"/>
      <c r="S207" s="18"/>
      <c r="T207" s="60" t="s">
        <v>131</v>
      </c>
      <c r="U207" s="18"/>
      <c r="V207" s="61"/>
      <c r="W207" s="18"/>
      <c r="X207" s="62"/>
      <c r="Y207" s="63" t="s">
        <v>308</v>
      </c>
    </row>
    <row r="208" ht="45.0" customHeight="1">
      <c r="A208" s="58">
        <v>4.0</v>
      </c>
      <c r="B208" s="46" t="s">
        <v>216</v>
      </c>
      <c r="C208" s="47" t="s">
        <v>312</v>
      </c>
      <c r="D208" s="17"/>
      <c r="E208" s="17"/>
      <c r="F208" s="18"/>
      <c r="G208" s="59" t="s">
        <v>173</v>
      </c>
      <c r="H208" s="17"/>
      <c r="I208" s="17"/>
      <c r="J208" s="18"/>
      <c r="K208" s="60">
        <v>20.0</v>
      </c>
      <c r="L208" s="17"/>
      <c r="M208" s="17"/>
      <c r="N208" s="18"/>
      <c r="O208" s="71" t="s">
        <v>130</v>
      </c>
      <c r="P208" s="17"/>
      <c r="Q208" s="18"/>
      <c r="R208" s="60"/>
      <c r="S208" s="18"/>
      <c r="T208" s="60" t="s">
        <v>131</v>
      </c>
      <c r="U208" s="18"/>
      <c r="V208" s="61"/>
      <c r="W208" s="18"/>
      <c r="X208" s="62"/>
      <c r="Y208" s="63" t="s">
        <v>313</v>
      </c>
    </row>
    <row r="209" ht="45.0" customHeight="1">
      <c r="A209" s="58">
        <v>5.0</v>
      </c>
      <c r="B209" s="46" t="s">
        <v>178</v>
      </c>
      <c r="C209" s="47" t="s">
        <v>204</v>
      </c>
      <c r="D209" s="17"/>
      <c r="E209" s="17"/>
      <c r="F209" s="18"/>
      <c r="G209" s="59" t="s">
        <v>173</v>
      </c>
      <c r="H209" s="17"/>
      <c r="I209" s="17"/>
      <c r="J209" s="18"/>
      <c r="K209" s="60">
        <v>20.0</v>
      </c>
      <c r="L209" s="17"/>
      <c r="M209" s="17"/>
      <c r="N209" s="18"/>
      <c r="O209" s="60" t="s">
        <v>130</v>
      </c>
      <c r="P209" s="17"/>
      <c r="Q209" s="18"/>
      <c r="R209" s="60"/>
      <c r="S209" s="18"/>
      <c r="T209" s="60" t="s">
        <v>131</v>
      </c>
      <c r="U209" s="18"/>
      <c r="V209" s="61"/>
      <c r="W209" s="18"/>
      <c r="X209" s="62"/>
      <c r="Y209" s="63" t="s">
        <v>205</v>
      </c>
    </row>
    <row r="210" ht="45.0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>
      <c r="T275" s="73"/>
      <c r="U275" s="73"/>
    </row>
    <row r="276" ht="15.75" customHeight="1">
      <c r="T276" s="73"/>
      <c r="U276" s="73"/>
    </row>
    <row r="277" ht="15.75" customHeight="1">
      <c r="T277" s="73"/>
      <c r="U277" s="73"/>
    </row>
    <row r="278" ht="15.75" customHeight="1">
      <c r="T278" s="73"/>
      <c r="U278" s="73"/>
    </row>
    <row r="279" ht="15.75" customHeight="1">
      <c r="T279" s="73"/>
      <c r="U279" s="73"/>
    </row>
    <row r="280" ht="15.75" customHeight="1">
      <c r="T280" s="73"/>
      <c r="U280" s="73"/>
    </row>
    <row r="281" ht="15.75" customHeight="1">
      <c r="T281" s="73"/>
      <c r="U281" s="73"/>
    </row>
    <row r="282" ht="15.75" customHeight="1">
      <c r="T282" s="73"/>
      <c r="U282" s="73"/>
    </row>
    <row r="283" ht="15.75" customHeight="1">
      <c r="T283" s="73"/>
      <c r="U283" s="73"/>
    </row>
    <row r="284" ht="15.75" customHeight="1">
      <c r="T284" s="73"/>
      <c r="U284" s="73"/>
    </row>
    <row r="285" ht="15.75" customHeight="1">
      <c r="T285" s="73"/>
      <c r="U285" s="73"/>
    </row>
    <row r="286" ht="15.75" customHeight="1">
      <c r="T286" s="73"/>
      <c r="U286" s="73"/>
    </row>
    <row r="287" ht="15.75" customHeight="1">
      <c r="T287" s="73"/>
      <c r="U287" s="73"/>
    </row>
    <row r="288" ht="15.75" customHeight="1">
      <c r="T288" s="73"/>
      <c r="U288" s="73"/>
    </row>
    <row r="289" ht="15.75" customHeight="1">
      <c r="T289" s="73"/>
      <c r="U289" s="73"/>
    </row>
    <row r="290" ht="15.75" customHeight="1">
      <c r="T290" s="73"/>
      <c r="U290" s="73"/>
    </row>
    <row r="291" ht="15.75" customHeight="1">
      <c r="T291" s="73"/>
      <c r="U291" s="73"/>
    </row>
    <row r="292" ht="15.75" customHeight="1">
      <c r="T292" s="73"/>
      <c r="U292" s="73"/>
    </row>
    <row r="293" ht="15.75" customHeight="1">
      <c r="T293" s="73"/>
      <c r="U293" s="73"/>
    </row>
    <row r="294" ht="15.75" customHeight="1">
      <c r="T294" s="73"/>
      <c r="U294" s="73"/>
    </row>
    <row r="295" ht="15.75" customHeight="1">
      <c r="T295" s="73"/>
      <c r="U295" s="73"/>
    </row>
    <row r="296" ht="15.75" customHeight="1">
      <c r="T296" s="73"/>
      <c r="U296" s="73"/>
    </row>
    <row r="297" ht="15.75" customHeight="1">
      <c r="T297" s="73"/>
      <c r="U297" s="73"/>
    </row>
    <row r="298" ht="15.75" customHeight="1">
      <c r="T298" s="73"/>
      <c r="U298" s="73"/>
    </row>
    <row r="299" ht="15.75" customHeight="1">
      <c r="T299" s="73"/>
      <c r="U299" s="73"/>
    </row>
    <row r="300" ht="15.75" customHeight="1">
      <c r="T300" s="73"/>
      <c r="U300" s="73"/>
    </row>
    <row r="301" ht="15.75" customHeight="1">
      <c r="T301" s="73"/>
      <c r="U301" s="73"/>
    </row>
    <row r="302" ht="15.75" customHeight="1">
      <c r="T302" s="73"/>
      <c r="U302" s="73"/>
    </row>
    <row r="303" ht="15.75" customHeight="1">
      <c r="T303" s="73"/>
      <c r="U303" s="73"/>
    </row>
    <row r="304" ht="15.75" customHeight="1">
      <c r="T304" s="73"/>
      <c r="U304" s="73"/>
    </row>
    <row r="305" ht="15.75" customHeight="1">
      <c r="T305" s="73"/>
      <c r="U305" s="73"/>
    </row>
    <row r="306" ht="15.75" customHeight="1">
      <c r="T306" s="73"/>
      <c r="U306" s="73"/>
    </row>
    <row r="307" ht="15.75" customHeight="1">
      <c r="T307" s="73"/>
      <c r="U307" s="73"/>
    </row>
    <row r="308" ht="15.75" customHeight="1">
      <c r="T308" s="73"/>
      <c r="U308" s="73"/>
    </row>
    <row r="309" ht="15.75" customHeight="1">
      <c r="T309" s="73"/>
      <c r="U309" s="73"/>
    </row>
    <row r="310" ht="15.75" customHeight="1">
      <c r="T310" s="73"/>
      <c r="U310" s="73"/>
    </row>
    <row r="311" ht="15.75" customHeight="1">
      <c r="T311" s="73"/>
      <c r="U311" s="73"/>
    </row>
    <row r="312" ht="15.75" customHeight="1">
      <c r="T312" s="73"/>
      <c r="U312" s="73"/>
    </row>
    <row r="313" ht="15.75" customHeight="1">
      <c r="T313" s="73"/>
      <c r="U313" s="73"/>
    </row>
    <row r="314" ht="15.75" customHeight="1">
      <c r="T314" s="73"/>
      <c r="U314" s="73"/>
    </row>
    <row r="315" ht="15.75" customHeight="1">
      <c r="T315" s="73"/>
      <c r="U315" s="73"/>
    </row>
    <row r="316" ht="15.75" customHeight="1">
      <c r="T316" s="73"/>
      <c r="U316" s="73"/>
    </row>
    <row r="317" ht="15.75" customHeight="1">
      <c r="T317" s="73"/>
      <c r="U317" s="73"/>
    </row>
    <row r="318" ht="15.75" customHeight="1">
      <c r="T318" s="73"/>
      <c r="U318" s="73"/>
    </row>
    <row r="319" ht="15.75" customHeight="1">
      <c r="T319" s="73"/>
      <c r="U319" s="73"/>
    </row>
    <row r="320" ht="15.75" customHeight="1">
      <c r="T320" s="73"/>
      <c r="U320" s="73"/>
    </row>
    <row r="321" ht="15.75" customHeight="1">
      <c r="T321" s="73"/>
      <c r="U321" s="73"/>
    </row>
    <row r="322" ht="15.75" customHeight="1">
      <c r="T322" s="73"/>
      <c r="U322" s="73"/>
    </row>
    <row r="323" ht="15.75" customHeight="1">
      <c r="T323" s="73"/>
      <c r="U323" s="73"/>
    </row>
    <row r="324" ht="15.75" customHeight="1">
      <c r="T324" s="73"/>
      <c r="U324" s="73"/>
    </row>
    <row r="325" ht="15.75" customHeight="1">
      <c r="T325" s="73"/>
      <c r="U325" s="73"/>
    </row>
    <row r="326" ht="15.75" customHeight="1">
      <c r="T326" s="73"/>
      <c r="U326" s="73"/>
    </row>
    <row r="327" ht="15.75" customHeight="1">
      <c r="T327" s="73"/>
      <c r="U327" s="73"/>
    </row>
    <row r="328" ht="15.75" customHeight="1">
      <c r="T328" s="73"/>
      <c r="U328" s="73"/>
    </row>
    <row r="329" ht="15.75" customHeight="1">
      <c r="T329" s="73"/>
      <c r="U329" s="73"/>
    </row>
    <row r="330" ht="15.75" customHeight="1">
      <c r="T330" s="73"/>
      <c r="U330" s="73"/>
    </row>
    <row r="331" ht="15.75" customHeight="1">
      <c r="T331" s="73"/>
      <c r="U331" s="73"/>
    </row>
    <row r="332" ht="15.75" customHeight="1">
      <c r="T332" s="73"/>
      <c r="U332" s="73"/>
    </row>
    <row r="333" ht="15.75" customHeight="1">
      <c r="T333" s="73"/>
      <c r="U333" s="73"/>
    </row>
    <row r="334" ht="15.75" customHeight="1">
      <c r="T334" s="73"/>
      <c r="U334" s="73"/>
    </row>
    <row r="335" ht="15.75" customHeight="1">
      <c r="T335" s="73"/>
      <c r="U335" s="73"/>
    </row>
    <row r="336" ht="15.75" customHeight="1">
      <c r="T336" s="73"/>
      <c r="U336" s="73"/>
    </row>
    <row r="337">
      <c r="T337" s="73"/>
      <c r="U337" s="73"/>
    </row>
    <row r="338" ht="15.75" customHeight="1">
      <c r="T338" s="73"/>
      <c r="U338" s="73"/>
    </row>
    <row r="339" ht="15.75" customHeight="1">
      <c r="T339" s="73"/>
      <c r="U339" s="73"/>
    </row>
    <row r="340" ht="15.75" customHeight="1">
      <c r="T340" s="73"/>
      <c r="U340" s="73"/>
    </row>
    <row r="341" ht="15.75" customHeight="1">
      <c r="T341" s="73"/>
      <c r="U341" s="73"/>
    </row>
    <row r="342" ht="15.75" customHeight="1">
      <c r="T342" s="73"/>
      <c r="U342" s="73"/>
    </row>
    <row r="343" ht="15.75" customHeight="1">
      <c r="T343" s="73"/>
      <c r="U343" s="73"/>
    </row>
    <row r="344" ht="15.75" customHeight="1">
      <c r="T344" s="73"/>
      <c r="U344" s="73"/>
    </row>
    <row r="345" ht="15.75" customHeight="1">
      <c r="T345" s="73"/>
      <c r="U345" s="73"/>
    </row>
    <row r="346" ht="15.75" customHeight="1">
      <c r="T346" s="73"/>
      <c r="U346" s="73"/>
    </row>
    <row r="347" ht="15.75" customHeight="1">
      <c r="T347" s="73"/>
      <c r="U347" s="73"/>
    </row>
    <row r="348" ht="15.75" customHeight="1">
      <c r="T348" s="73"/>
      <c r="U348" s="73"/>
    </row>
    <row r="349" ht="15.75" customHeight="1">
      <c r="T349" s="73"/>
      <c r="U349" s="73"/>
    </row>
    <row r="350" ht="15.75" customHeight="1">
      <c r="T350" s="73"/>
      <c r="U350" s="73"/>
    </row>
    <row r="351" ht="15.75" customHeight="1">
      <c r="T351" s="73"/>
      <c r="U351" s="73"/>
    </row>
    <row r="352" ht="15.75" customHeight="1">
      <c r="T352" s="73"/>
      <c r="U352" s="73"/>
    </row>
    <row r="353" ht="15.75" customHeight="1">
      <c r="T353" s="73"/>
      <c r="U353" s="73"/>
    </row>
    <row r="354" ht="15.75" customHeight="1">
      <c r="T354" s="73"/>
      <c r="U354" s="73"/>
    </row>
    <row r="355" ht="15.75" customHeight="1">
      <c r="T355" s="73"/>
      <c r="U355" s="73"/>
    </row>
    <row r="356" ht="15.75" customHeight="1">
      <c r="T356" s="73"/>
      <c r="U356" s="73"/>
    </row>
    <row r="357" ht="15.75" customHeight="1">
      <c r="T357" s="73"/>
      <c r="U357" s="73"/>
    </row>
    <row r="358" ht="15.75" customHeight="1">
      <c r="T358" s="73"/>
      <c r="U358" s="73"/>
    </row>
    <row r="359" ht="15.75" customHeight="1">
      <c r="T359" s="73"/>
      <c r="U359" s="73"/>
    </row>
    <row r="360" ht="15.75" customHeight="1">
      <c r="T360" s="73"/>
      <c r="U360" s="73"/>
    </row>
    <row r="361" ht="15.75" customHeight="1">
      <c r="T361" s="73"/>
      <c r="U361" s="73"/>
    </row>
    <row r="362" ht="15.75" customHeight="1">
      <c r="T362" s="73"/>
      <c r="U362" s="73"/>
    </row>
    <row r="363" ht="15.75" customHeight="1">
      <c r="T363" s="73"/>
      <c r="U363" s="73"/>
    </row>
    <row r="364" ht="15.75" customHeight="1">
      <c r="T364" s="73"/>
      <c r="U364" s="73"/>
    </row>
    <row r="365" ht="15.75" customHeight="1">
      <c r="T365" s="73"/>
      <c r="U365" s="73"/>
    </row>
    <row r="366" ht="15.75" customHeight="1">
      <c r="T366" s="73"/>
      <c r="U366" s="73"/>
    </row>
    <row r="367" ht="15.75" customHeight="1">
      <c r="T367" s="73"/>
      <c r="U367" s="73"/>
    </row>
    <row r="368" ht="15.75" customHeight="1">
      <c r="T368" s="73"/>
      <c r="U368" s="73"/>
    </row>
    <row r="369" ht="15.75" customHeight="1">
      <c r="T369" s="73"/>
      <c r="U369" s="73"/>
    </row>
    <row r="370" ht="15.75" customHeight="1">
      <c r="T370" s="73"/>
      <c r="U370" s="73"/>
    </row>
    <row r="371" ht="15.75" customHeight="1">
      <c r="T371" s="73"/>
      <c r="U371" s="73"/>
    </row>
    <row r="372" ht="15.75" customHeight="1">
      <c r="T372" s="73"/>
      <c r="U372" s="73"/>
    </row>
    <row r="373" ht="15.75" customHeight="1">
      <c r="T373" s="73"/>
      <c r="U373" s="73"/>
    </row>
    <row r="374" ht="15.75" customHeight="1">
      <c r="T374" s="73"/>
      <c r="U374" s="73"/>
    </row>
    <row r="375" ht="15.75" customHeight="1">
      <c r="T375" s="73"/>
      <c r="U375" s="73"/>
    </row>
    <row r="376" ht="15.75" customHeight="1">
      <c r="T376" s="73"/>
      <c r="U376" s="73"/>
    </row>
    <row r="377" ht="15.75" customHeight="1">
      <c r="T377" s="73"/>
      <c r="U377" s="73"/>
    </row>
    <row r="378" ht="15.75" customHeight="1">
      <c r="T378" s="73"/>
      <c r="U378" s="73"/>
    </row>
    <row r="379" ht="15.75" customHeight="1">
      <c r="T379" s="73"/>
      <c r="U379" s="73"/>
    </row>
    <row r="380" ht="15.75" customHeight="1">
      <c r="T380" s="73"/>
      <c r="U380" s="73"/>
    </row>
    <row r="381" ht="15.75" customHeight="1">
      <c r="T381" s="73"/>
      <c r="U381" s="73"/>
    </row>
    <row r="382" ht="15.75" customHeight="1">
      <c r="T382" s="73"/>
      <c r="U382" s="73"/>
    </row>
    <row r="383" ht="15.75" customHeight="1">
      <c r="T383" s="73"/>
      <c r="U383" s="73"/>
    </row>
    <row r="384" ht="15.75" customHeight="1">
      <c r="T384" s="73"/>
      <c r="U384" s="73"/>
    </row>
    <row r="385" ht="15.75" customHeight="1">
      <c r="T385" s="73"/>
      <c r="U385" s="73"/>
    </row>
    <row r="386" ht="15.75" customHeight="1">
      <c r="T386" s="73"/>
      <c r="U386" s="73"/>
    </row>
    <row r="387" ht="15.75" customHeight="1">
      <c r="T387" s="73"/>
      <c r="U387" s="73"/>
    </row>
    <row r="388" ht="15.75" customHeight="1">
      <c r="T388" s="73"/>
      <c r="U388" s="73"/>
    </row>
    <row r="389" ht="15.75" customHeight="1">
      <c r="T389" s="73"/>
      <c r="U389" s="73"/>
    </row>
    <row r="390" ht="15.75" customHeight="1">
      <c r="T390" s="73"/>
      <c r="U390" s="73"/>
    </row>
    <row r="391" ht="15.75" customHeight="1">
      <c r="T391" s="73"/>
      <c r="U391" s="73"/>
    </row>
    <row r="392" ht="15.75" customHeight="1">
      <c r="T392" s="73"/>
      <c r="U392" s="73"/>
    </row>
    <row r="393" ht="15.75" customHeight="1">
      <c r="T393" s="73"/>
      <c r="U393" s="73"/>
    </row>
    <row r="394" ht="15.75" customHeight="1">
      <c r="T394" s="73"/>
      <c r="U394" s="73"/>
    </row>
    <row r="395" ht="15.75" customHeight="1">
      <c r="T395" s="73"/>
      <c r="U395" s="73"/>
    </row>
    <row r="396" ht="15.75" customHeight="1">
      <c r="T396" s="73"/>
      <c r="U396" s="73"/>
    </row>
    <row r="397" ht="15.75" customHeight="1">
      <c r="T397" s="73"/>
      <c r="U397" s="73"/>
    </row>
    <row r="398" ht="15.75" customHeight="1">
      <c r="T398" s="73"/>
      <c r="U398" s="73"/>
    </row>
    <row r="399" ht="15.75" customHeight="1">
      <c r="T399" s="73"/>
      <c r="U399" s="73"/>
    </row>
    <row r="400" ht="15.75" customHeight="1">
      <c r="T400" s="73"/>
      <c r="U400" s="73"/>
    </row>
    <row r="401" ht="15.75" customHeight="1">
      <c r="T401" s="73"/>
      <c r="U401" s="73"/>
    </row>
    <row r="402" ht="15.75" customHeight="1">
      <c r="T402" s="73"/>
      <c r="U402" s="73"/>
    </row>
    <row r="403" ht="15.75" customHeight="1">
      <c r="T403" s="73"/>
      <c r="U403" s="73"/>
    </row>
    <row r="404" ht="15.75" customHeight="1">
      <c r="T404" s="73"/>
      <c r="U404" s="73"/>
    </row>
    <row r="405" ht="15.75" customHeight="1">
      <c r="T405" s="73"/>
      <c r="U405" s="73"/>
    </row>
    <row r="406" ht="15.75" customHeight="1">
      <c r="T406" s="73"/>
      <c r="U406" s="73"/>
    </row>
    <row r="407" ht="15.75" customHeight="1">
      <c r="T407" s="73"/>
      <c r="U407" s="73"/>
    </row>
    <row r="408" ht="15.75" customHeight="1">
      <c r="T408" s="73"/>
      <c r="U408" s="73"/>
    </row>
    <row r="409" ht="15.75" customHeight="1">
      <c r="T409" s="73"/>
      <c r="U409" s="73"/>
    </row>
    <row r="410" ht="15.75" customHeight="1">
      <c r="T410" s="73"/>
      <c r="U410" s="73"/>
    </row>
    <row r="411" ht="15.75" customHeight="1">
      <c r="T411" s="73"/>
      <c r="U411" s="73"/>
    </row>
    <row r="412" ht="15.75" customHeight="1">
      <c r="T412" s="73"/>
      <c r="U412" s="73"/>
    </row>
    <row r="413" ht="15.75" customHeight="1">
      <c r="T413" s="73"/>
      <c r="U413" s="73"/>
    </row>
    <row r="414" ht="15.75" customHeight="1">
      <c r="T414" s="73"/>
      <c r="U414" s="73"/>
    </row>
    <row r="415" ht="15.75" customHeight="1">
      <c r="T415" s="73"/>
      <c r="U415" s="73"/>
    </row>
    <row r="416" ht="15.75" customHeight="1">
      <c r="T416" s="73"/>
      <c r="U416" s="73"/>
    </row>
    <row r="417" ht="15.75" customHeight="1">
      <c r="T417" s="73"/>
      <c r="U417" s="73"/>
    </row>
    <row r="418" ht="15.75" customHeight="1">
      <c r="T418" s="73"/>
      <c r="U418" s="73"/>
    </row>
    <row r="419" ht="15.75" customHeight="1">
      <c r="T419" s="73"/>
      <c r="U419" s="73"/>
    </row>
    <row r="420" ht="15.75" customHeight="1">
      <c r="T420" s="73"/>
      <c r="U420" s="73"/>
    </row>
    <row r="421" ht="15.75" customHeight="1">
      <c r="T421" s="73"/>
      <c r="U421" s="73"/>
    </row>
    <row r="422" ht="15.75" customHeight="1">
      <c r="T422" s="73"/>
      <c r="U422" s="73"/>
    </row>
    <row r="423" ht="15.75" customHeight="1">
      <c r="T423" s="73"/>
      <c r="U423" s="73"/>
    </row>
    <row r="424" ht="15.75" customHeight="1">
      <c r="T424" s="73"/>
      <c r="U424" s="73"/>
    </row>
    <row r="425" ht="15.75" customHeight="1">
      <c r="T425" s="73"/>
      <c r="U425" s="73"/>
    </row>
    <row r="426" ht="15.75" customHeight="1">
      <c r="T426" s="73"/>
      <c r="U426" s="73"/>
    </row>
    <row r="427" ht="15.75" customHeight="1">
      <c r="T427" s="73"/>
      <c r="U427" s="73"/>
    </row>
    <row r="428" ht="15.75" customHeight="1">
      <c r="T428" s="73"/>
      <c r="U428" s="73"/>
    </row>
    <row r="429" ht="15.75" customHeight="1">
      <c r="T429" s="73"/>
      <c r="U429" s="73"/>
    </row>
    <row r="430" ht="15.75" customHeight="1">
      <c r="T430" s="73"/>
      <c r="U430" s="73"/>
    </row>
    <row r="431" ht="15.75" customHeight="1">
      <c r="T431" s="73"/>
      <c r="U431" s="73"/>
    </row>
    <row r="432" ht="15.75" customHeight="1">
      <c r="T432" s="73"/>
      <c r="U432" s="73"/>
    </row>
    <row r="433" ht="15.75" customHeight="1">
      <c r="T433" s="73"/>
      <c r="U433" s="73"/>
    </row>
    <row r="434" ht="15.75" customHeight="1">
      <c r="T434" s="73"/>
      <c r="U434" s="73"/>
    </row>
    <row r="435" ht="15.75" customHeight="1">
      <c r="T435" s="73"/>
      <c r="U435" s="73"/>
    </row>
    <row r="436" ht="15.75" customHeight="1">
      <c r="T436" s="73"/>
      <c r="U436" s="73"/>
    </row>
    <row r="437" ht="15.75" customHeight="1">
      <c r="T437" s="73"/>
      <c r="U437" s="73"/>
    </row>
    <row r="438" ht="15.75" customHeight="1">
      <c r="T438" s="73"/>
      <c r="U438" s="73"/>
    </row>
    <row r="439" ht="15.75" customHeight="1">
      <c r="T439" s="73"/>
      <c r="U439" s="73"/>
    </row>
    <row r="440" ht="15.75" customHeight="1">
      <c r="T440" s="73"/>
      <c r="U440" s="73"/>
    </row>
    <row r="441" ht="15.75" customHeight="1">
      <c r="T441" s="73"/>
      <c r="U441" s="73"/>
    </row>
    <row r="442" ht="15.75" customHeight="1">
      <c r="T442" s="73"/>
      <c r="U442" s="73"/>
    </row>
    <row r="443" ht="15.75" customHeight="1">
      <c r="T443" s="73"/>
      <c r="U443" s="73"/>
    </row>
    <row r="444" ht="15.75" customHeight="1">
      <c r="T444" s="73"/>
      <c r="U444" s="73"/>
    </row>
    <row r="445" ht="15.75" customHeight="1">
      <c r="T445" s="73"/>
      <c r="U445" s="73"/>
    </row>
    <row r="446" ht="15.75" customHeight="1">
      <c r="T446" s="73"/>
      <c r="U446" s="73"/>
    </row>
    <row r="447" ht="15.75" customHeight="1">
      <c r="T447" s="73"/>
      <c r="U447" s="73"/>
    </row>
    <row r="448" ht="15.75" customHeight="1">
      <c r="T448" s="73"/>
      <c r="U448" s="73"/>
    </row>
    <row r="449" ht="15.75" customHeight="1">
      <c r="T449" s="73"/>
      <c r="U449" s="73"/>
    </row>
    <row r="450" ht="15.75" customHeight="1">
      <c r="T450" s="73"/>
      <c r="U450" s="73"/>
    </row>
    <row r="451" ht="15.75" customHeight="1">
      <c r="T451" s="73"/>
      <c r="U451" s="73"/>
    </row>
    <row r="452" ht="15.75" customHeight="1">
      <c r="T452" s="73"/>
      <c r="U452" s="73"/>
    </row>
    <row r="453" ht="15.75" customHeight="1">
      <c r="T453" s="73"/>
      <c r="U453" s="73"/>
    </row>
    <row r="454" ht="15.75" customHeight="1">
      <c r="T454" s="73"/>
      <c r="U454" s="73"/>
    </row>
    <row r="455" ht="15.75" customHeight="1">
      <c r="T455" s="73"/>
      <c r="U455" s="73"/>
    </row>
    <row r="456" ht="15.75" customHeight="1">
      <c r="T456" s="73"/>
      <c r="U456" s="73"/>
    </row>
    <row r="457" ht="15.75" customHeight="1">
      <c r="T457" s="73"/>
      <c r="U457" s="73"/>
    </row>
    <row r="458" ht="15.75" customHeight="1">
      <c r="T458" s="73"/>
      <c r="U458" s="73"/>
    </row>
    <row r="459" ht="15.75" customHeight="1">
      <c r="T459" s="73"/>
      <c r="U459" s="73"/>
    </row>
    <row r="460" ht="15.75" customHeight="1">
      <c r="T460" s="73"/>
      <c r="U460" s="73"/>
    </row>
    <row r="461" ht="15.75" customHeight="1">
      <c r="T461" s="73"/>
      <c r="U461" s="73"/>
    </row>
    <row r="462" ht="15.75" customHeight="1">
      <c r="T462" s="73"/>
      <c r="U462" s="73"/>
    </row>
    <row r="463" ht="15.75" customHeight="1">
      <c r="T463" s="73"/>
      <c r="U463" s="73"/>
    </row>
    <row r="464" ht="15.75" customHeight="1">
      <c r="T464" s="73"/>
      <c r="U464" s="73"/>
    </row>
    <row r="465" ht="15.75" customHeight="1">
      <c r="T465" s="73"/>
      <c r="U465" s="73"/>
    </row>
    <row r="466" ht="15.75" customHeight="1">
      <c r="T466" s="73"/>
      <c r="U466" s="73"/>
    </row>
    <row r="467" ht="15.75" customHeight="1">
      <c r="T467" s="73"/>
      <c r="U467" s="73"/>
    </row>
    <row r="468" ht="15.75" customHeight="1">
      <c r="T468" s="73"/>
      <c r="U468" s="73"/>
    </row>
    <row r="469" ht="15.75" customHeight="1">
      <c r="T469" s="73"/>
      <c r="U469" s="73"/>
    </row>
    <row r="470" ht="15.75" customHeight="1">
      <c r="T470" s="73"/>
      <c r="U470" s="73"/>
    </row>
    <row r="471" ht="15.75" customHeight="1">
      <c r="T471" s="73"/>
      <c r="U471" s="73"/>
    </row>
    <row r="472" ht="15.75" customHeight="1">
      <c r="T472" s="73"/>
      <c r="U472" s="73"/>
    </row>
    <row r="473" ht="15.75" customHeight="1">
      <c r="T473" s="73"/>
      <c r="U473" s="73"/>
    </row>
    <row r="474" ht="15.75" customHeight="1">
      <c r="T474" s="73"/>
      <c r="U474" s="73"/>
    </row>
    <row r="475" ht="15.75" customHeight="1">
      <c r="T475" s="73"/>
      <c r="U475" s="73"/>
    </row>
    <row r="476" ht="15.75" customHeight="1">
      <c r="T476" s="73"/>
      <c r="U476" s="73"/>
    </row>
    <row r="477" ht="15.75" customHeight="1">
      <c r="T477" s="73"/>
      <c r="U477" s="73"/>
    </row>
    <row r="478" ht="15.75" customHeight="1">
      <c r="T478" s="73"/>
      <c r="U478" s="73"/>
    </row>
    <row r="479" ht="15.75" customHeight="1">
      <c r="T479" s="73"/>
      <c r="U479" s="73"/>
    </row>
    <row r="480" ht="15.75" customHeight="1">
      <c r="T480" s="73"/>
      <c r="U480" s="73"/>
    </row>
    <row r="481" ht="15.75" customHeight="1">
      <c r="T481" s="73"/>
      <c r="U481" s="73"/>
    </row>
    <row r="482" ht="15.75" customHeight="1">
      <c r="T482" s="73"/>
      <c r="U482" s="73"/>
    </row>
    <row r="483" ht="15.75" customHeight="1">
      <c r="T483" s="73"/>
      <c r="U483" s="73"/>
    </row>
    <row r="484" ht="15.75" customHeight="1">
      <c r="T484" s="73"/>
      <c r="U484" s="73"/>
    </row>
    <row r="485" ht="15.75" customHeight="1">
      <c r="T485" s="73"/>
      <c r="U485" s="73"/>
    </row>
    <row r="486" ht="15.75" customHeight="1">
      <c r="T486" s="73"/>
      <c r="U486" s="73"/>
    </row>
    <row r="487" ht="15.75" customHeight="1">
      <c r="T487" s="73"/>
      <c r="U487" s="73"/>
    </row>
    <row r="488" ht="15.75" customHeight="1">
      <c r="T488" s="73"/>
      <c r="U488" s="73"/>
    </row>
    <row r="489" ht="15.75" customHeight="1">
      <c r="T489" s="73"/>
      <c r="U489" s="73"/>
    </row>
    <row r="490" ht="15.75" customHeight="1">
      <c r="T490" s="73"/>
      <c r="U490" s="73"/>
    </row>
    <row r="491" ht="15.75" customHeight="1">
      <c r="T491" s="73"/>
      <c r="U491" s="73"/>
    </row>
    <row r="492" ht="15.75" customHeight="1">
      <c r="T492" s="73"/>
      <c r="U492" s="73"/>
    </row>
    <row r="493" ht="15.75" customHeight="1">
      <c r="T493" s="73"/>
      <c r="U493" s="73"/>
    </row>
    <row r="494" ht="15.75" customHeight="1">
      <c r="T494" s="73"/>
      <c r="U494" s="73"/>
    </row>
    <row r="495" ht="15.75" customHeight="1">
      <c r="T495" s="73"/>
      <c r="U495" s="73"/>
    </row>
    <row r="496" ht="15.75" customHeight="1">
      <c r="T496" s="73"/>
      <c r="U496" s="73"/>
    </row>
    <row r="497" ht="15.75" customHeight="1">
      <c r="T497" s="73"/>
      <c r="U497" s="73"/>
    </row>
    <row r="498" ht="15.75" customHeight="1">
      <c r="T498" s="73"/>
      <c r="U498" s="73"/>
    </row>
    <row r="499" ht="15.75" customHeight="1">
      <c r="T499" s="73"/>
      <c r="U499" s="73"/>
    </row>
    <row r="500" ht="15.75" customHeight="1">
      <c r="T500" s="73"/>
      <c r="U500" s="73"/>
    </row>
    <row r="501" ht="15.75" customHeight="1">
      <c r="T501" s="73"/>
      <c r="U501" s="73"/>
    </row>
    <row r="502" ht="15.75" customHeight="1">
      <c r="T502" s="73"/>
      <c r="U502" s="73"/>
    </row>
    <row r="503" ht="15.75" customHeight="1">
      <c r="T503" s="73"/>
      <c r="U503" s="73"/>
    </row>
    <row r="504" ht="15.75" customHeight="1">
      <c r="T504" s="73"/>
      <c r="U504" s="73"/>
    </row>
    <row r="505" ht="15.75" customHeight="1">
      <c r="T505" s="73"/>
      <c r="U505" s="73"/>
    </row>
    <row r="506" ht="15.75" customHeight="1">
      <c r="T506" s="73"/>
      <c r="U506" s="73"/>
    </row>
    <row r="507" ht="15.75" customHeight="1">
      <c r="T507" s="73"/>
      <c r="U507" s="73"/>
    </row>
    <row r="508" ht="15.75" customHeight="1">
      <c r="T508" s="73"/>
      <c r="U508" s="73"/>
    </row>
    <row r="509" ht="15.75" customHeight="1">
      <c r="T509" s="73"/>
      <c r="U509" s="73"/>
    </row>
    <row r="510" ht="15.75" customHeight="1">
      <c r="T510" s="73"/>
      <c r="U510" s="73"/>
    </row>
    <row r="511" ht="15.75" customHeight="1">
      <c r="T511" s="73"/>
      <c r="U511" s="73"/>
    </row>
    <row r="512" ht="15.75" customHeight="1">
      <c r="T512" s="73"/>
      <c r="U512" s="73"/>
    </row>
    <row r="513" ht="15.75" customHeight="1">
      <c r="T513" s="73"/>
      <c r="U513" s="73"/>
    </row>
    <row r="514" ht="15.75" customHeight="1">
      <c r="T514" s="73"/>
      <c r="U514" s="73"/>
    </row>
    <row r="515" ht="15.75" customHeight="1">
      <c r="T515" s="73"/>
      <c r="U515" s="73"/>
    </row>
    <row r="516" ht="15.75" customHeight="1">
      <c r="T516" s="73"/>
      <c r="U516" s="73"/>
    </row>
    <row r="517" ht="15.75" customHeight="1">
      <c r="T517" s="73"/>
      <c r="U517" s="73"/>
    </row>
    <row r="518" ht="15.75" customHeight="1">
      <c r="T518" s="73"/>
      <c r="U518" s="73"/>
    </row>
    <row r="519" ht="15.75" customHeight="1">
      <c r="T519" s="73"/>
      <c r="U519" s="73"/>
    </row>
    <row r="520" ht="15.75" customHeight="1">
      <c r="T520" s="73"/>
      <c r="U520" s="73"/>
    </row>
    <row r="521" ht="15.75" customHeight="1">
      <c r="T521" s="73"/>
      <c r="U521" s="73"/>
    </row>
    <row r="522" ht="15.75" customHeight="1">
      <c r="T522" s="73"/>
      <c r="U522" s="73"/>
    </row>
    <row r="523" ht="15.75" customHeight="1">
      <c r="T523" s="73"/>
      <c r="U523" s="73"/>
    </row>
    <row r="524" ht="15.75" customHeight="1">
      <c r="T524" s="73"/>
      <c r="U524" s="73"/>
    </row>
    <row r="525" ht="15.75" customHeight="1">
      <c r="T525" s="73"/>
      <c r="U525" s="73"/>
    </row>
    <row r="526" ht="15.75" customHeight="1">
      <c r="T526" s="73"/>
      <c r="U526" s="73"/>
    </row>
    <row r="527" ht="15.75" customHeight="1">
      <c r="T527" s="73"/>
      <c r="U527" s="73"/>
    </row>
    <row r="528" ht="15.75" customHeight="1">
      <c r="T528" s="73"/>
      <c r="U528" s="73"/>
    </row>
    <row r="529" ht="15.75" customHeight="1">
      <c r="T529" s="73"/>
      <c r="U529" s="73"/>
    </row>
    <row r="530" ht="15.75" customHeight="1">
      <c r="T530" s="73"/>
      <c r="U530" s="73"/>
    </row>
    <row r="531" ht="15.75" customHeight="1">
      <c r="T531" s="73"/>
      <c r="U531" s="73"/>
    </row>
    <row r="532" ht="15.75" customHeight="1">
      <c r="T532" s="73"/>
      <c r="U532" s="73"/>
    </row>
    <row r="533" ht="15.75" customHeight="1">
      <c r="T533" s="73"/>
      <c r="U533" s="73"/>
    </row>
    <row r="534" ht="15.75" customHeight="1">
      <c r="T534" s="73"/>
      <c r="U534" s="73"/>
    </row>
    <row r="535" ht="15.75" customHeight="1">
      <c r="T535" s="73"/>
      <c r="U535" s="73"/>
    </row>
    <row r="536" ht="15.75" customHeight="1">
      <c r="T536" s="73"/>
      <c r="U536" s="73"/>
    </row>
    <row r="537" ht="15.75" customHeight="1">
      <c r="T537" s="73"/>
      <c r="U537" s="73"/>
    </row>
    <row r="538" ht="15.75" customHeight="1">
      <c r="T538" s="73"/>
      <c r="U538" s="73"/>
    </row>
    <row r="539" ht="15.75" customHeight="1">
      <c r="T539" s="73"/>
      <c r="U539" s="73"/>
    </row>
    <row r="540" ht="15.75" customHeight="1">
      <c r="T540" s="73"/>
      <c r="U540" s="73"/>
    </row>
    <row r="541" ht="15.75" customHeight="1">
      <c r="T541" s="73"/>
      <c r="U541" s="73"/>
    </row>
    <row r="542" ht="15.75" customHeight="1">
      <c r="T542" s="73"/>
      <c r="U542" s="73"/>
    </row>
    <row r="543" ht="15.75" customHeight="1">
      <c r="T543" s="73"/>
      <c r="U543" s="73"/>
    </row>
    <row r="544" ht="15.75" customHeight="1">
      <c r="T544" s="73"/>
      <c r="U544" s="73"/>
    </row>
    <row r="545" ht="15.75" customHeight="1">
      <c r="T545" s="73"/>
      <c r="U545" s="73"/>
    </row>
    <row r="546" ht="15.75" customHeight="1">
      <c r="T546" s="73"/>
      <c r="U546" s="73"/>
    </row>
    <row r="547" ht="15.75" customHeight="1">
      <c r="T547" s="73"/>
      <c r="U547" s="73"/>
    </row>
    <row r="548" ht="15.75" customHeight="1">
      <c r="T548" s="73"/>
      <c r="U548" s="73"/>
    </row>
    <row r="549" ht="15.75" customHeight="1">
      <c r="T549" s="73"/>
      <c r="U549" s="73"/>
    </row>
    <row r="550" ht="15.75" customHeight="1">
      <c r="T550" s="73"/>
      <c r="U550" s="73"/>
    </row>
    <row r="551" ht="15.75" customHeight="1">
      <c r="T551" s="73"/>
      <c r="U551" s="73"/>
    </row>
    <row r="552" ht="15.75" customHeight="1">
      <c r="T552" s="73"/>
      <c r="U552" s="73"/>
    </row>
    <row r="553" ht="15.75" customHeight="1">
      <c r="T553" s="73"/>
      <c r="U553" s="73"/>
    </row>
    <row r="554" ht="15.75" customHeight="1">
      <c r="T554" s="73"/>
      <c r="U554" s="73"/>
    </row>
    <row r="555" ht="15.75" customHeight="1">
      <c r="T555" s="73"/>
      <c r="U555" s="73"/>
    </row>
    <row r="556" ht="15.75" customHeight="1">
      <c r="T556" s="73"/>
      <c r="U556" s="73"/>
    </row>
    <row r="557" ht="15.75" customHeight="1">
      <c r="T557" s="73"/>
      <c r="U557" s="73"/>
    </row>
    <row r="558" ht="15.75" customHeight="1">
      <c r="T558" s="73"/>
      <c r="U558" s="73"/>
    </row>
    <row r="559" ht="15.75" customHeight="1">
      <c r="T559" s="73"/>
      <c r="U559" s="73"/>
    </row>
    <row r="560" ht="15.75" customHeight="1">
      <c r="T560" s="73"/>
      <c r="U560" s="73"/>
    </row>
    <row r="561" ht="15.75" customHeight="1">
      <c r="T561" s="73"/>
      <c r="U561" s="73"/>
    </row>
    <row r="562" ht="15.75" customHeight="1">
      <c r="T562" s="73"/>
      <c r="U562" s="73"/>
    </row>
    <row r="563" ht="15.75" customHeight="1">
      <c r="T563" s="73"/>
      <c r="U563" s="73"/>
    </row>
    <row r="564" ht="15.75" customHeight="1">
      <c r="T564" s="73"/>
      <c r="U564" s="73"/>
    </row>
    <row r="565" ht="15.75" customHeight="1">
      <c r="T565" s="73"/>
      <c r="U565" s="73"/>
    </row>
    <row r="566" ht="15.75" customHeight="1">
      <c r="T566" s="73"/>
      <c r="U566" s="73"/>
    </row>
    <row r="567" ht="15.75" customHeight="1">
      <c r="T567" s="73"/>
      <c r="U567" s="73"/>
    </row>
    <row r="568" ht="15.75" customHeight="1">
      <c r="T568" s="73"/>
      <c r="U568" s="73"/>
    </row>
    <row r="569" ht="15.75" customHeight="1">
      <c r="T569" s="73"/>
      <c r="U569" s="73"/>
    </row>
    <row r="570" ht="15.75" customHeight="1">
      <c r="T570" s="73"/>
      <c r="U570" s="73"/>
    </row>
    <row r="571" ht="15.75" customHeight="1">
      <c r="T571" s="73"/>
      <c r="U571" s="73"/>
    </row>
    <row r="572" ht="15.75" customHeight="1">
      <c r="T572" s="73"/>
      <c r="U572" s="73"/>
    </row>
    <row r="573" ht="15.75" customHeight="1">
      <c r="T573" s="73"/>
      <c r="U573" s="73"/>
    </row>
    <row r="574" ht="15.75" customHeight="1">
      <c r="T574" s="73"/>
      <c r="U574" s="73"/>
    </row>
    <row r="575" ht="15.75" customHeight="1">
      <c r="T575" s="73"/>
      <c r="U575" s="73"/>
    </row>
    <row r="576" ht="15.75" customHeight="1">
      <c r="T576" s="73"/>
      <c r="U576" s="73"/>
    </row>
    <row r="577" ht="15.75" customHeight="1">
      <c r="T577" s="73"/>
      <c r="U577" s="73"/>
    </row>
    <row r="578" ht="15.75" customHeight="1">
      <c r="T578" s="73"/>
      <c r="U578" s="73"/>
    </row>
    <row r="579" ht="15.75" customHeight="1">
      <c r="T579" s="73"/>
      <c r="U579" s="73"/>
    </row>
    <row r="580" ht="15.75" customHeight="1">
      <c r="T580" s="73"/>
      <c r="U580" s="73"/>
    </row>
    <row r="581" ht="15.75" customHeight="1">
      <c r="T581" s="73"/>
      <c r="U581" s="73"/>
    </row>
    <row r="582" ht="15.75" customHeight="1">
      <c r="T582" s="73"/>
      <c r="U582" s="73"/>
    </row>
    <row r="583" ht="15.75" customHeight="1">
      <c r="T583" s="73"/>
      <c r="U583" s="73"/>
    </row>
    <row r="584" ht="15.75" customHeight="1">
      <c r="T584" s="73"/>
      <c r="U584" s="73"/>
    </row>
    <row r="585" ht="15.75" customHeight="1">
      <c r="T585" s="73"/>
      <c r="U585" s="73"/>
    </row>
    <row r="586" ht="15.75" customHeight="1">
      <c r="T586" s="73"/>
      <c r="U586" s="73"/>
    </row>
    <row r="587" ht="15.75" customHeight="1">
      <c r="T587" s="73"/>
      <c r="U587" s="73"/>
    </row>
    <row r="588" ht="15.75" customHeight="1">
      <c r="T588" s="73"/>
      <c r="U588" s="73"/>
    </row>
    <row r="589" ht="15.75" customHeight="1">
      <c r="T589" s="73"/>
      <c r="U589" s="73"/>
    </row>
    <row r="590" ht="15.75" customHeight="1">
      <c r="T590" s="73"/>
      <c r="U590" s="73"/>
    </row>
    <row r="591" ht="15.75" customHeight="1">
      <c r="T591" s="73"/>
      <c r="U591" s="73"/>
    </row>
    <row r="592" ht="15.75" customHeight="1">
      <c r="T592" s="73"/>
      <c r="U592" s="73"/>
    </row>
    <row r="593" ht="15.75" customHeight="1">
      <c r="T593" s="73"/>
      <c r="U593" s="73"/>
    </row>
    <row r="594" ht="15.75" customHeight="1">
      <c r="T594" s="73"/>
      <c r="U594" s="73"/>
    </row>
    <row r="595" ht="15.75" customHeight="1">
      <c r="T595" s="73"/>
      <c r="U595" s="73"/>
    </row>
    <row r="596" ht="15.75" customHeight="1">
      <c r="T596" s="73"/>
      <c r="U596" s="73"/>
    </row>
    <row r="597" ht="15.75" customHeight="1">
      <c r="T597" s="73"/>
      <c r="U597" s="73"/>
    </row>
    <row r="598" ht="15.75" customHeight="1">
      <c r="T598" s="73"/>
      <c r="U598" s="73"/>
    </row>
    <row r="599" ht="15.75" customHeight="1">
      <c r="T599" s="73"/>
      <c r="U599" s="73"/>
    </row>
    <row r="600" ht="15.75" customHeight="1">
      <c r="T600" s="73"/>
      <c r="U600" s="73"/>
    </row>
    <row r="601" ht="15.75" customHeight="1">
      <c r="T601" s="73"/>
      <c r="U601" s="73"/>
    </row>
    <row r="602" ht="15.75" customHeight="1">
      <c r="T602" s="73"/>
      <c r="U602" s="73"/>
    </row>
    <row r="603" ht="15.75" customHeight="1">
      <c r="T603" s="73"/>
      <c r="U603" s="73"/>
    </row>
    <row r="604" ht="15.75" customHeight="1">
      <c r="T604" s="73"/>
      <c r="U604" s="73"/>
    </row>
    <row r="605" ht="15.75" customHeight="1">
      <c r="T605" s="73"/>
      <c r="U605" s="73"/>
    </row>
    <row r="606" ht="15.75" customHeight="1">
      <c r="T606" s="73"/>
      <c r="U606" s="73"/>
    </row>
    <row r="607" ht="15.75" customHeight="1">
      <c r="T607" s="73"/>
      <c r="U607" s="73"/>
    </row>
    <row r="608" ht="15.75" customHeight="1">
      <c r="T608" s="73"/>
      <c r="U608" s="73"/>
    </row>
    <row r="609" ht="15.75" customHeight="1">
      <c r="T609" s="73"/>
      <c r="U609" s="73"/>
    </row>
    <row r="610" ht="15.75" customHeight="1">
      <c r="T610" s="73"/>
      <c r="U610" s="73"/>
    </row>
    <row r="611" ht="15.75" customHeight="1">
      <c r="T611" s="73"/>
      <c r="U611" s="73"/>
    </row>
    <row r="612" ht="15.75" customHeight="1">
      <c r="T612" s="73"/>
      <c r="U612" s="73"/>
    </row>
    <row r="613" ht="15.75" customHeight="1">
      <c r="T613" s="73"/>
      <c r="U613" s="73"/>
    </row>
    <row r="614" ht="15.75" customHeight="1">
      <c r="T614" s="73"/>
      <c r="U614" s="73"/>
    </row>
    <row r="615" ht="15.75" customHeight="1">
      <c r="T615" s="73"/>
      <c r="U615" s="73"/>
    </row>
    <row r="616" ht="15.75" customHeight="1">
      <c r="T616" s="73"/>
      <c r="U616" s="73"/>
    </row>
    <row r="617" ht="15.75" customHeight="1">
      <c r="T617" s="73"/>
      <c r="U617" s="73"/>
    </row>
    <row r="618" ht="15.75" customHeight="1">
      <c r="T618" s="73"/>
      <c r="U618" s="73"/>
    </row>
    <row r="619" ht="15.75" customHeight="1">
      <c r="T619" s="73"/>
      <c r="U619" s="73"/>
    </row>
    <row r="620" ht="15.75" customHeight="1">
      <c r="T620" s="73"/>
      <c r="U620" s="73"/>
    </row>
    <row r="621" ht="15.75" customHeight="1">
      <c r="T621" s="73"/>
      <c r="U621" s="73"/>
    </row>
    <row r="622" ht="15.75" customHeight="1">
      <c r="T622" s="73"/>
      <c r="U622" s="73"/>
    </row>
    <row r="623" ht="15.75" customHeight="1">
      <c r="T623" s="73"/>
      <c r="U623" s="73"/>
    </row>
    <row r="624" ht="15.75" customHeight="1">
      <c r="T624" s="73"/>
      <c r="U624" s="73"/>
    </row>
    <row r="625" ht="15.75" customHeight="1">
      <c r="T625" s="73"/>
      <c r="U625" s="73"/>
    </row>
    <row r="626" ht="15.75" customHeight="1">
      <c r="T626" s="73"/>
      <c r="U626" s="73"/>
    </row>
    <row r="627" ht="15.75" customHeight="1">
      <c r="T627" s="73"/>
      <c r="U627" s="73"/>
    </row>
    <row r="628" ht="15.75" customHeight="1">
      <c r="T628" s="73"/>
      <c r="U628" s="73"/>
    </row>
    <row r="629" ht="15.75" customHeight="1">
      <c r="T629" s="73"/>
      <c r="U629" s="73"/>
    </row>
    <row r="630" ht="15.75" customHeight="1">
      <c r="T630" s="73"/>
      <c r="U630" s="73"/>
    </row>
    <row r="631" ht="15.75" customHeight="1">
      <c r="T631" s="73"/>
      <c r="U631" s="73"/>
    </row>
    <row r="632" ht="15.75" customHeight="1">
      <c r="T632" s="73"/>
      <c r="U632" s="73"/>
    </row>
    <row r="633" ht="15.75" customHeight="1">
      <c r="T633" s="73"/>
      <c r="U633" s="73"/>
    </row>
    <row r="634" ht="15.75" customHeight="1">
      <c r="T634" s="73"/>
      <c r="U634" s="73"/>
    </row>
    <row r="635" ht="15.75" customHeight="1">
      <c r="T635" s="73"/>
      <c r="U635" s="73"/>
    </row>
    <row r="636" ht="15.75" customHeight="1">
      <c r="T636" s="73"/>
      <c r="U636" s="73"/>
    </row>
    <row r="637" ht="15.75" customHeight="1">
      <c r="T637" s="73"/>
      <c r="U637" s="73"/>
    </row>
    <row r="638" ht="15.75" customHeight="1">
      <c r="T638" s="73"/>
      <c r="U638" s="73"/>
    </row>
    <row r="639" ht="15.75" customHeight="1">
      <c r="T639" s="73"/>
      <c r="U639" s="73"/>
    </row>
    <row r="640" ht="15.75" customHeight="1">
      <c r="T640" s="73"/>
      <c r="U640" s="73"/>
    </row>
    <row r="641" ht="15.75" customHeight="1">
      <c r="T641" s="73"/>
      <c r="U641" s="73"/>
    </row>
    <row r="642" ht="15.75" customHeight="1">
      <c r="T642" s="73"/>
      <c r="U642" s="73"/>
    </row>
    <row r="643" ht="15.75" customHeight="1">
      <c r="T643" s="73"/>
      <c r="U643" s="73"/>
    </row>
    <row r="644" ht="15.75" customHeight="1">
      <c r="T644" s="73"/>
      <c r="U644" s="73"/>
    </row>
    <row r="645" ht="15.75" customHeight="1">
      <c r="T645" s="73"/>
      <c r="U645" s="73"/>
    </row>
    <row r="646" ht="15.75" customHeight="1">
      <c r="T646" s="73"/>
      <c r="U646" s="73"/>
    </row>
    <row r="647" ht="15.75" customHeight="1">
      <c r="T647" s="73"/>
      <c r="U647" s="73"/>
    </row>
    <row r="648" ht="15.75" customHeight="1">
      <c r="T648" s="73"/>
      <c r="U648" s="73"/>
    </row>
    <row r="649" ht="15.75" customHeight="1">
      <c r="T649" s="73"/>
      <c r="U649" s="73"/>
    </row>
    <row r="650" ht="15.75" customHeight="1">
      <c r="T650" s="73"/>
      <c r="U650" s="73"/>
    </row>
    <row r="651" ht="15.75" customHeight="1">
      <c r="T651" s="73"/>
      <c r="U651" s="73"/>
    </row>
    <row r="652" ht="15.75" customHeight="1">
      <c r="T652" s="73"/>
      <c r="U652" s="73"/>
    </row>
    <row r="653" ht="15.75" customHeight="1">
      <c r="T653" s="73"/>
      <c r="U653" s="73"/>
    </row>
    <row r="654" ht="15.75" customHeight="1">
      <c r="T654" s="73"/>
      <c r="U654" s="73"/>
    </row>
    <row r="655" ht="15.75" customHeight="1">
      <c r="T655" s="73"/>
      <c r="U655" s="73"/>
    </row>
    <row r="656" ht="15.75" customHeight="1">
      <c r="T656" s="73"/>
      <c r="U656" s="73"/>
    </row>
    <row r="657" ht="15.75" customHeight="1">
      <c r="T657" s="73"/>
      <c r="U657" s="73"/>
    </row>
    <row r="658" ht="15.75" customHeight="1">
      <c r="T658" s="73"/>
      <c r="U658" s="73"/>
    </row>
    <row r="659" ht="15.75" customHeight="1">
      <c r="T659" s="73"/>
      <c r="U659" s="73"/>
    </row>
    <row r="660" ht="15.75" customHeight="1">
      <c r="T660" s="73"/>
      <c r="U660" s="73"/>
    </row>
    <row r="661" ht="15.75" customHeight="1">
      <c r="T661" s="73"/>
      <c r="U661" s="73"/>
    </row>
    <row r="662" ht="15.75" customHeight="1">
      <c r="T662" s="73"/>
      <c r="U662" s="73"/>
    </row>
    <row r="663" ht="15.75" customHeight="1">
      <c r="T663" s="73"/>
      <c r="U663" s="73"/>
    </row>
    <row r="664" ht="15.75" customHeight="1">
      <c r="T664" s="73"/>
      <c r="U664" s="73"/>
    </row>
    <row r="665" ht="15.75" customHeight="1">
      <c r="T665" s="73"/>
      <c r="U665" s="73"/>
    </row>
    <row r="666" ht="15.75" customHeight="1">
      <c r="T666" s="73"/>
      <c r="U666" s="73"/>
    </row>
    <row r="667" ht="15.75" customHeight="1">
      <c r="T667" s="73"/>
      <c r="U667" s="73"/>
    </row>
    <row r="668" ht="15.75" customHeight="1">
      <c r="T668" s="73"/>
      <c r="U668" s="73"/>
    </row>
    <row r="669" ht="15.75" customHeight="1">
      <c r="T669" s="73"/>
      <c r="U669" s="73"/>
    </row>
    <row r="670" ht="15.75" customHeight="1">
      <c r="T670" s="73"/>
      <c r="U670" s="73"/>
    </row>
    <row r="671" ht="15.75" customHeight="1">
      <c r="T671" s="73"/>
      <c r="U671" s="73"/>
    </row>
    <row r="672" ht="15.75" customHeight="1">
      <c r="T672" s="73"/>
      <c r="U672" s="73"/>
    </row>
    <row r="673" ht="15.75" customHeight="1">
      <c r="T673" s="73"/>
      <c r="U673" s="73"/>
    </row>
    <row r="674" ht="15.75" customHeight="1">
      <c r="T674" s="73"/>
      <c r="U674" s="73"/>
    </row>
    <row r="675" ht="15.75" customHeight="1">
      <c r="T675" s="73"/>
      <c r="U675" s="73"/>
    </row>
    <row r="676" ht="15.75" customHeight="1">
      <c r="T676" s="73"/>
      <c r="U676" s="73"/>
    </row>
    <row r="677" ht="15.75" customHeight="1">
      <c r="T677" s="73"/>
      <c r="U677" s="73"/>
    </row>
    <row r="678" ht="15.75" customHeight="1">
      <c r="T678" s="73"/>
      <c r="U678" s="73"/>
    </row>
    <row r="679" ht="15.75" customHeight="1">
      <c r="T679" s="73"/>
      <c r="U679" s="73"/>
    </row>
    <row r="680" ht="15.75" customHeight="1">
      <c r="T680" s="73"/>
      <c r="U680" s="73"/>
    </row>
    <row r="681" ht="15.75" customHeight="1">
      <c r="T681" s="73"/>
      <c r="U681" s="73"/>
    </row>
    <row r="682" ht="15.75" customHeight="1">
      <c r="T682" s="73"/>
      <c r="U682" s="73"/>
    </row>
    <row r="683" ht="15.75" customHeight="1">
      <c r="T683" s="73"/>
      <c r="U683" s="73"/>
    </row>
    <row r="684" ht="15.75" customHeight="1">
      <c r="T684" s="73"/>
      <c r="U684" s="73"/>
    </row>
    <row r="685" ht="15.75" customHeight="1">
      <c r="T685" s="73"/>
      <c r="U685" s="73"/>
    </row>
    <row r="686" ht="15.75" customHeight="1">
      <c r="T686" s="73"/>
      <c r="U686" s="73"/>
    </row>
    <row r="687" ht="15.75" customHeight="1">
      <c r="T687" s="73"/>
      <c r="U687" s="73"/>
    </row>
    <row r="688" ht="15.75" customHeight="1">
      <c r="T688" s="73"/>
      <c r="U688" s="73"/>
    </row>
    <row r="689" ht="15.75" customHeight="1">
      <c r="T689" s="73"/>
      <c r="U689" s="73"/>
    </row>
    <row r="690" ht="15.75" customHeight="1">
      <c r="T690" s="73"/>
      <c r="U690" s="73"/>
    </row>
    <row r="691" ht="15.75" customHeight="1">
      <c r="T691" s="73"/>
      <c r="U691" s="73"/>
    </row>
    <row r="692" ht="15.75" customHeight="1">
      <c r="T692" s="73"/>
      <c r="U692" s="73"/>
    </row>
    <row r="693" ht="15.75" customHeight="1">
      <c r="T693" s="73"/>
      <c r="U693" s="73"/>
    </row>
    <row r="694" ht="15.75" customHeight="1">
      <c r="T694" s="73"/>
      <c r="U694" s="73"/>
    </row>
    <row r="695" ht="15.75" customHeight="1">
      <c r="T695" s="73"/>
      <c r="U695" s="73"/>
    </row>
    <row r="696" ht="15.75" customHeight="1">
      <c r="T696" s="73"/>
      <c r="U696" s="73"/>
    </row>
    <row r="697" ht="15.75" customHeight="1">
      <c r="T697" s="73"/>
      <c r="U697" s="73"/>
    </row>
    <row r="698" ht="15.75" customHeight="1">
      <c r="T698" s="73"/>
      <c r="U698" s="73"/>
    </row>
    <row r="699" ht="15.75" customHeight="1">
      <c r="T699" s="73"/>
      <c r="U699" s="73"/>
    </row>
    <row r="700" ht="15.75" customHeight="1">
      <c r="T700" s="73"/>
      <c r="U700" s="73"/>
    </row>
    <row r="701" ht="15.75" customHeight="1">
      <c r="T701" s="73"/>
      <c r="U701" s="73"/>
    </row>
    <row r="702" ht="15.75" customHeight="1">
      <c r="T702" s="73"/>
      <c r="U702" s="73"/>
    </row>
    <row r="703" ht="15.75" customHeight="1">
      <c r="T703" s="73"/>
      <c r="U703" s="73"/>
    </row>
    <row r="704" ht="15.75" customHeight="1">
      <c r="T704" s="73"/>
      <c r="U704" s="73"/>
    </row>
    <row r="705" ht="15.75" customHeight="1">
      <c r="T705" s="73"/>
      <c r="U705" s="73"/>
    </row>
    <row r="706" ht="15.75" customHeight="1">
      <c r="T706" s="73"/>
      <c r="U706" s="73"/>
    </row>
    <row r="707" ht="15.75" customHeight="1">
      <c r="T707" s="73"/>
      <c r="U707" s="73"/>
    </row>
    <row r="708" ht="15.75" customHeight="1">
      <c r="T708" s="73"/>
      <c r="U708" s="73"/>
    </row>
    <row r="709" ht="15.75" customHeight="1">
      <c r="T709" s="73"/>
      <c r="U709" s="73"/>
    </row>
    <row r="710" ht="15.75" customHeight="1">
      <c r="T710" s="73"/>
      <c r="U710" s="73"/>
    </row>
    <row r="711" ht="15.75" customHeight="1">
      <c r="T711" s="73"/>
      <c r="U711" s="73"/>
    </row>
    <row r="712" ht="15.75" customHeight="1">
      <c r="T712" s="73"/>
      <c r="U712" s="73"/>
    </row>
    <row r="713" ht="15.75" customHeight="1">
      <c r="T713" s="73"/>
      <c r="U713" s="73"/>
    </row>
    <row r="714" ht="15.75" customHeight="1">
      <c r="T714" s="73"/>
      <c r="U714" s="73"/>
    </row>
    <row r="715" ht="15.75" customHeight="1">
      <c r="T715" s="73"/>
      <c r="U715" s="73"/>
    </row>
    <row r="716" ht="15.75" customHeight="1">
      <c r="T716" s="73"/>
      <c r="U716" s="73"/>
    </row>
    <row r="717" ht="15.75" customHeight="1">
      <c r="T717" s="73"/>
      <c r="U717" s="73"/>
    </row>
    <row r="718" ht="15.75" customHeight="1">
      <c r="T718" s="73"/>
      <c r="U718" s="73"/>
    </row>
    <row r="719" ht="15.75" customHeight="1">
      <c r="T719" s="73"/>
      <c r="U719" s="73"/>
    </row>
    <row r="720" ht="15.75" customHeight="1">
      <c r="T720" s="73"/>
      <c r="U720" s="73"/>
    </row>
    <row r="721" ht="15.75" customHeight="1">
      <c r="T721" s="73"/>
      <c r="U721" s="73"/>
    </row>
    <row r="722" ht="15.75" customHeight="1">
      <c r="T722" s="73"/>
      <c r="U722" s="73"/>
    </row>
    <row r="723" ht="15.75" customHeight="1">
      <c r="T723" s="73"/>
      <c r="U723" s="73"/>
    </row>
    <row r="724" ht="15.75" customHeight="1">
      <c r="T724" s="73"/>
      <c r="U724" s="73"/>
    </row>
    <row r="725" ht="15.75" customHeight="1">
      <c r="T725" s="73"/>
      <c r="U725" s="73"/>
    </row>
    <row r="726" ht="15.75" customHeight="1">
      <c r="T726" s="73"/>
      <c r="U726" s="73"/>
    </row>
    <row r="727" ht="15.75" customHeight="1">
      <c r="T727" s="73"/>
      <c r="U727" s="73"/>
    </row>
    <row r="728" ht="15.75" customHeight="1">
      <c r="T728" s="73"/>
      <c r="U728" s="73"/>
    </row>
    <row r="729" ht="15.75" customHeight="1">
      <c r="T729" s="73"/>
      <c r="U729" s="73"/>
    </row>
    <row r="730" ht="15.75" customHeight="1">
      <c r="T730" s="73"/>
      <c r="U730" s="73"/>
    </row>
    <row r="731" ht="15.75" customHeight="1">
      <c r="T731" s="73"/>
      <c r="U731" s="73"/>
    </row>
    <row r="732" ht="15.75" customHeight="1">
      <c r="T732" s="73"/>
      <c r="U732" s="73"/>
    </row>
    <row r="733" ht="15.75" customHeight="1">
      <c r="T733" s="73"/>
      <c r="U733" s="73"/>
    </row>
    <row r="734" ht="15.75" customHeight="1">
      <c r="T734" s="73"/>
      <c r="U734" s="73"/>
    </row>
    <row r="735" ht="15.75" customHeight="1">
      <c r="T735" s="73"/>
      <c r="U735" s="73"/>
    </row>
    <row r="736" ht="15.75" customHeight="1">
      <c r="T736" s="73"/>
      <c r="U736" s="73"/>
    </row>
    <row r="737" ht="15.75" customHeight="1">
      <c r="T737" s="73"/>
      <c r="U737" s="73"/>
    </row>
    <row r="738" ht="15.75" customHeight="1">
      <c r="T738" s="73"/>
      <c r="U738" s="73"/>
    </row>
    <row r="739" ht="15.75" customHeight="1">
      <c r="T739" s="73"/>
      <c r="U739" s="73"/>
    </row>
    <row r="740" ht="15.75" customHeight="1">
      <c r="T740" s="73"/>
      <c r="U740" s="73"/>
    </row>
    <row r="741" ht="15.75" customHeight="1">
      <c r="T741" s="73"/>
      <c r="U741" s="73"/>
    </row>
    <row r="742" ht="15.75" customHeight="1">
      <c r="T742" s="73"/>
      <c r="U742" s="73"/>
    </row>
    <row r="743" ht="15.75" customHeight="1">
      <c r="T743" s="73"/>
      <c r="U743" s="73"/>
    </row>
    <row r="744" ht="15.75" customHeight="1">
      <c r="T744" s="73"/>
      <c r="U744" s="73"/>
    </row>
    <row r="745" ht="15.75" customHeight="1">
      <c r="T745" s="73"/>
      <c r="U745" s="73"/>
    </row>
    <row r="746" ht="15.75" customHeight="1">
      <c r="T746" s="73"/>
      <c r="U746" s="73"/>
    </row>
    <row r="747" ht="15.75" customHeight="1">
      <c r="T747" s="73"/>
      <c r="U747" s="73"/>
    </row>
    <row r="748" ht="15.75" customHeight="1">
      <c r="T748" s="73"/>
      <c r="U748" s="73"/>
    </row>
    <row r="749" ht="15.75" customHeight="1">
      <c r="T749" s="73"/>
      <c r="U749" s="73"/>
    </row>
    <row r="750" ht="15.75" customHeight="1">
      <c r="T750" s="73"/>
      <c r="U750" s="73"/>
    </row>
    <row r="751" ht="15.75" customHeight="1">
      <c r="T751" s="73"/>
      <c r="U751" s="73"/>
    </row>
    <row r="752" ht="15.75" customHeight="1">
      <c r="T752" s="73"/>
      <c r="U752" s="73"/>
    </row>
    <row r="753" ht="15.75" customHeight="1">
      <c r="T753" s="73"/>
      <c r="U753" s="73"/>
    </row>
    <row r="754" ht="15.75" customHeight="1">
      <c r="T754" s="73"/>
      <c r="U754" s="73"/>
    </row>
    <row r="755" ht="15.75" customHeight="1">
      <c r="T755" s="73"/>
      <c r="U755" s="73"/>
    </row>
    <row r="756" ht="15.75" customHeight="1">
      <c r="T756" s="73"/>
      <c r="U756" s="73"/>
    </row>
    <row r="757" ht="15.75" customHeight="1">
      <c r="T757" s="73"/>
      <c r="U757" s="73"/>
    </row>
    <row r="758" ht="15.75" customHeight="1">
      <c r="T758" s="73"/>
      <c r="U758" s="73"/>
    </row>
    <row r="759" ht="15.75" customHeight="1">
      <c r="T759" s="73"/>
      <c r="U759" s="73"/>
    </row>
    <row r="760" ht="15.75" customHeight="1">
      <c r="T760" s="73"/>
      <c r="U760" s="73"/>
    </row>
    <row r="761" ht="15.75" customHeight="1">
      <c r="T761" s="73"/>
      <c r="U761" s="73"/>
    </row>
    <row r="762" ht="15.75" customHeight="1">
      <c r="T762" s="73"/>
      <c r="U762" s="73"/>
    </row>
    <row r="763" ht="15.75" customHeight="1">
      <c r="T763" s="73"/>
      <c r="U763" s="73"/>
    </row>
    <row r="764" ht="15.75" customHeight="1">
      <c r="T764" s="73"/>
      <c r="U764" s="73"/>
    </row>
    <row r="765" ht="15.75" customHeight="1">
      <c r="T765" s="73"/>
      <c r="U765" s="73"/>
    </row>
    <row r="766" ht="15.75" customHeight="1">
      <c r="T766" s="73"/>
      <c r="U766" s="73"/>
    </row>
    <row r="767" ht="15.75" customHeight="1">
      <c r="T767" s="73"/>
      <c r="U767" s="73"/>
    </row>
    <row r="768" ht="15.75" customHeight="1">
      <c r="T768" s="73"/>
      <c r="U768" s="73"/>
    </row>
    <row r="769" ht="15.75" customHeight="1">
      <c r="T769" s="73"/>
      <c r="U769" s="73"/>
    </row>
    <row r="770" ht="15.75" customHeight="1">
      <c r="T770" s="73"/>
      <c r="U770" s="73"/>
    </row>
    <row r="771" ht="15.75" customHeight="1">
      <c r="T771" s="73"/>
      <c r="U771" s="73"/>
    </row>
    <row r="772" ht="15.75" customHeight="1">
      <c r="T772" s="73"/>
      <c r="U772" s="73"/>
    </row>
    <row r="773" ht="15.75" customHeight="1">
      <c r="T773" s="73"/>
      <c r="U773" s="73"/>
    </row>
    <row r="774" ht="15.75" customHeight="1">
      <c r="T774" s="73"/>
      <c r="U774" s="73"/>
    </row>
    <row r="775" ht="15.75" customHeight="1">
      <c r="T775" s="73"/>
      <c r="U775" s="73"/>
    </row>
    <row r="776" ht="15.75" customHeight="1">
      <c r="T776" s="73"/>
      <c r="U776" s="73"/>
    </row>
    <row r="777" ht="15.75" customHeight="1">
      <c r="T777" s="73"/>
      <c r="U777" s="73"/>
    </row>
    <row r="778" ht="15.75" customHeight="1">
      <c r="T778" s="73"/>
      <c r="U778" s="73"/>
    </row>
    <row r="779" ht="15.75" customHeight="1">
      <c r="T779" s="73"/>
      <c r="U779" s="73"/>
    </row>
    <row r="780" ht="15.75" customHeight="1">
      <c r="T780" s="73"/>
      <c r="U780" s="73"/>
    </row>
    <row r="781" ht="15.75" customHeight="1">
      <c r="T781" s="73"/>
      <c r="U781" s="73"/>
    </row>
    <row r="782" ht="15.75" customHeight="1">
      <c r="T782" s="73"/>
      <c r="U782" s="73"/>
    </row>
    <row r="783" ht="15.75" customHeight="1">
      <c r="T783" s="73"/>
      <c r="U783" s="73"/>
    </row>
    <row r="784" ht="15.75" customHeight="1">
      <c r="T784" s="73"/>
      <c r="U784" s="73"/>
    </row>
    <row r="785" ht="15.75" customHeight="1">
      <c r="T785" s="73"/>
      <c r="U785" s="73"/>
    </row>
    <row r="786" ht="15.75" customHeight="1">
      <c r="T786" s="73"/>
      <c r="U786" s="73"/>
    </row>
    <row r="787" ht="15.75" customHeight="1">
      <c r="T787" s="73"/>
      <c r="U787" s="73"/>
    </row>
    <row r="788" ht="15.75" customHeight="1">
      <c r="T788" s="73"/>
      <c r="U788" s="73"/>
    </row>
    <row r="789" ht="15.75" customHeight="1">
      <c r="T789" s="73"/>
      <c r="U789" s="73"/>
    </row>
    <row r="790" ht="15.75" customHeight="1">
      <c r="T790" s="73"/>
      <c r="U790" s="73"/>
    </row>
    <row r="791" ht="15.75" customHeight="1">
      <c r="T791" s="73"/>
      <c r="U791" s="73"/>
    </row>
    <row r="792" ht="15.75" customHeight="1">
      <c r="T792" s="73"/>
      <c r="U792" s="73"/>
    </row>
    <row r="793" ht="15.75" customHeight="1">
      <c r="T793" s="73"/>
      <c r="U793" s="73"/>
    </row>
    <row r="794" ht="15.75" customHeight="1">
      <c r="T794" s="73"/>
      <c r="U794" s="73"/>
    </row>
    <row r="795" ht="15.75" customHeight="1">
      <c r="T795" s="73"/>
      <c r="U795" s="73"/>
    </row>
    <row r="796" ht="15.75" customHeight="1">
      <c r="T796" s="73"/>
      <c r="U796" s="73"/>
    </row>
    <row r="797" ht="15.75" customHeight="1">
      <c r="T797" s="73"/>
      <c r="U797" s="73"/>
    </row>
    <row r="798" ht="15.75" customHeight="1">
      <c r="T798" s="73"/>
      <c r="U798" s="73"/>
    </row>
    <row r="799" ht="15.75" customHeight="1">
      <c r="T799" s="73"/>
      <c r="U799" s="73"/>
    </row>
    <row r="800" ht="15.75" customHeight="1">
      <c r="T800" s="73"/>
      <c r="U800" s="73"/>
    </row>
    <row r="801" ht="15.75" customHeight="1">
      <c r="T801" s="73"/>
      <c r="U801" s="73"/>
    </row>
    <row r="802" ht="15.75" customHeight="1">
      <c r="T802" s="73"/>
      <c r="U802" s="73"/>
    </row>
    <row r="803" ht="15.75" customHeight="1">
      <c r="T803" s="73"/>
      <c r="U803" s="73"/>
    </row>
    <row r="804" ht="15.75" customHeight="1">
      <c r="T804" s="73"/>
      <c r="U804" s="73"/>
    </row>
    <row r="805" ht="15.75" customHeight="1">
      <c r="T805" s="73"/>
      <c r="U805" s="73"/>
    </row>
    <row r="806" ht="15.75" customHeight="1">
      <c r="T806" s="73"/>
      <c r="U806" s="73"/>
    </row>
    <row r="807" ht="15.75" customHeight="1">
      <c r="T807" s="73"/>
      <c r="U807" s="73"/>
    </row>
    <row r="808" ht="15.75" customHeight="1">
      <c r="T808" s="73"/>
      <c r="U808" s="73"/>
    </row>
    <row r="809" ht="15.75" customHeight="1">
      <c r="T809" s="73"/>
      <c r="U809" s="73"/>
    </row>
    <row r="810" ht="15.75" customHeight="1">
      <c r="T810" s="73"/>
      <c r="U810" s="73"/>
    </row>
    <row r="811" ht="15.75" customHeight="1">
      <c r="T811" s="73"/>
      <c r="U811" s="73"/>
    </row>
    <row r="812" ht="15.75" customHeight="1">
      <c r="T812" s="73"/>
      <c r="U812" s="73"/>
    </row>
    <row r="813" ht="15.75" customHeight="1">
      <c r="T813" s="73"/>
      <c r="U813" s="73"/>
    </row>
    <row r="814" ht="15.75" customHeight="1">
      <c r="T814" s="73"/>
      <c r="U814" s="73"/>
    </row>
    <row r="815" ht="15.75" customHeight="1">
      <c r="T815" s="73"/>
      <c r="U815" s="73"/>
    </row>
    <row r="816" ht="15.75" customHeight="1">
      <c r="T816" s="73"/>
      <c r="U816" s="73"/>
    </row>
    <row r="817" ht="15.75" customHeight="1">
      <c r="T817" s="73"/>
      <c r="U817" s="73"/>
    </row>
    <row r="818" ht="15.75" customHeight="1">
      <c r="T818" s="73"/>
      <c r="U818" s="73"/>
    </row>
    <row r="819" ht="15.75" customHeight="1">
      <c r="T819" s="73"/>
      <c r="U819" s="73"/>
    </row>
    <row r="820" ht="15.75" customHeight="1">
      <c r="T820" s="73"/>
      <c r="U820" s="73"/>
    </row>
    <row r="821" ht="15.75" customHeight="1">
      <c r="T821" s="73"/>
      <c r="U821" s="73"/>
    </row>
    <row r="822" ht="15.75" customHeight="1">
      <c r="T822" s="73"/>
      <c r="U822" s="73"/>
    </row>
    <row r="823" ht="15.75" customHeight="1">
      <c r="T823" s="73"/>
      <c r="U823" s="73"/>
    </row>
    <row r="824" ht="15.75" customHeight="1">
      <c r="T824" s="73"/>
      <c r="U824" s="73"/>
    </row>
    <row r="825" ht="15.75" customHeight="1">
      <c r="T825" s="73"/>
      <c r="U825" s="73"/>
    </row>
    <row r="826" ht="15.75" customHeight="1">
      <c r="T826" s="73"/>
      <c r="U826" s="73"/>
    </row>
    <row r="827" ht="15.75" customHeight="1">
      <c r="T827" s="73"/>
      <c r="U827" s="73"/>
    </row>
    <row r="828" ht="15.75" customHeight="1">
      <c r="T828" s="73"/>
      <c r="U828" s="73"/>
    </row>
    <row r="829" ht="15.75" customHeight="1">
      <c r="T829" s="73"/>
      <c r="U829" s="73"/>
    </row>
    <row r="830" ht="15.75" customHeight="1">
      <c r="T830" s="73"/>
      <c r="U830" s="73"/>
    </row>
    <row r="831" ht="15.75" customHeight="1">
      <c r="T831" s="73"/>
      <c r="U831" s="73"/>
    </row>
    <row r="832" ht="15.75" customHeight="1">
      <c r="T832" s="73"/>
      <c r="U832" s="73"/>
    </row>
    <row r="833" ht="15.75" customHeight="1">
      <c r="T833" s="73"/>
      <c r="U833" s="73"/>
    </row>
    <row r="834" ht="15.75" customHeight="1">
      <c r="T834" s="73"/>
      <c r="U834" s="73"/>
    </row>
    <row r="835" ht="15.75" customHeight="1">
      <c r="T835" s="73"/>
      <c r="U835" s="73"/>
    </row>
    <row r="836" ht="15.75" customHeight="1">
      <c r="T836" s="73"/>
      <c r="U836" s="73"/>
    </row>
    <row r="837" ht="15.75" customHeight="1">
      <c r="T837" s="73"/>
      <c r="U837" s="73"/>
    </row>
    <row r="838" ht="15.75" customHeight="1">
      <c r="T838" s="73"/>
      <c r="U838" s="73"/>
    </row>
    <row r="839" ht="15.75" customHeight="1">
      <c r="T839" s="73"/>
      <c r="U839" s="73"/>
    </row>
    <row r="840" ht="15.75" customHeight="1">
      <c r="T840" s="73"/>
      <c r="U840" s="73"/>
    </row>
    <row r="841" ht="15.75" customHeight="1">
      <c r="T841" s="73"/>
      <c r="U841" s="73"/>
    </row>
    <row r="842" ht="15.75" customHeight="1">
      <c r="T842" s="73"/>
      <c r="U842" s="73"/>
    </row>
    <row r="843" ht="15.75" customHeight="1">
      <c r="T843" s="73"/>
      <c r="U843" s="73"/>
    </row>
    <row r="844" ht="15.75" customHeight="1">
      <c r="T844" s="73"/>
      <c r="U844" s="73"/>
    </row>
    <row r="845" ht="15.75" customHeight="1">
      <c r="T845" s="73"/>
      <c r="U845" s="73"/>
    </row>
    <row r="846" ht="15.75" customHeight="1">
      <c r="T846" s="73"/>
      <c r="U846" s="73"/>
    </row>
    <row r="847" ht="15.75" customHeight="1">
      <c r="T847" s="73"/>
      <c r="U847" s="73"/>
    </row>
    <row r="848" ht="15.75" customHeight="1">
      <c r="T848" s="73"/>
      <c r="U848" s="73"/>
    </row>
    <row r="849" ht="15.75" customHeight="1">
      <c r="T849" s="73"/>
      <c r="U849" s="73"/>
    </row>
    <row r="850" ht="15.75" customHeight="1">
      <c r="T850" s="73"/>
      <c r="U850" s="73"/>
    </row>
    <row r="851" ht="15.75" customHeight="1">
      <c r="T851" s="73"/>
      <c r="U851" s="73"/>
    </row>
    <row r="852" ht="15.75" customHeight="1">
      <c r="T852" s="73"/>
      <c r="U852" s="73"/>
    </row>
    <row r="853" ht="15.75" customHeight="1">
      <c r="T853" s="73"/>
      <c r="U853" s="73"/>
    </row>
    <row r="854" ht="15.75" customHeight="1">
      <c r="T854" s="73"/>
      <c r="U854" s="73"/>
    </row>
    <row r="855" ht="15.75" customHeight="1">
      <c r="T855" s="73"/>
      <c r="U855" s="73"/>
    </row>
    <row r="856" ht="15.75" customHeight="1">
      <c r="T856" s="73"/>
      <c r="U856" s="73"/>
    </row>
    <row r="857" ht="15.75" customHeight="1">
      <c r="T857" s="73"/>
      <c r="U857" s="73"/>
    </row>
    <row r="858" ht="15.75" customHeight="1">
      <c r="T858" s="73"/>
      <c r="U858" s="73"/>
    </row>
    <row r="859" ht="15.75" customHeight="1">
      <c r="T859" s="73"/>
      <c r="U859" s="73"/>
    </row>
    <row r="860" ht="15.75" customHeight="1">
      <c r="T860" s="73"/>
      <c r="U860" s="73"/>
    </row>
    <row r="861" ht="15.75" customHeight="1">
      <c r="T861" s="73"/>
      <c r="U861" s="73"/>
    </row>
    <row r="862" ht="15.75" customHeight="1">
      <c r="T862" s="73"/>
      <c r="U862" s="73"/>
    </row>
    <row r="863" ht="15.75" customHeight="1">
      <c r="T863" s="73"/>
      <c r="U863" s="73"/>
    </row>
    <row r="864" ht="15.75" customHeight="1">
      <c r="T864" s="73"/>
      <c r="U864" s="73"/>
    </row>
    <row r="865" ht="15.75" customHeight="1">
      <c r="T865" s="73"/>
      <c r="U865" s="73"/>
    </row>
    <row r="866" ht="15.75" customHeight="1">
      <c r="T866" s="73"/>
      <c r="U866" s="73"/>
    </row>
    <row r="867" ht="15.75" customHeight="1">
      <c r="T867" s="73"/>
      <c r="U867" s="73"/>
    </row>
    <row r="868" ht="15.75" customHeight="1">
      <c r="T868" s="73"/>
      <c r="U868" s="73"/>
    </row>
    <row r="869" ht="15.75" customHeight="1">
      <c r="T869" s="73"/>
      <c r="U869" s="73"/>
    </row>
    <row r="870" ht="15.75" customHeight="1">
      <c r="T870" s="73"/>
      <c r="U870" s="73"/>
    </row>
    <row r="871" ht="15.75" customHeight="1">
      <c r="T871" s="73"/>
      <c r="U871" s="73"/>
    </row>
    <row r="872" ht="15.75" customHeight="1">
      <c r="T872" s="73"/>
      <c r="U872" s="73"/>
    </row>
    <row r="873" ht="15.75" customHeight="1">
      <c r="T873" s="73"/>
      <c r="U873" s="73"/>
    </row>
    <row r="874" ht="15.75" customHeight="1">
      <c r="T874" s="73"/>
      <c r="U874" s="73"/>
    </row>
    <row r="875" ht="15.75" customHeight="1">
      <c r="T875" s="73"/>
      <c r="U875" s="73"/>
    </row>
    <row r="876" ht="15.75" customHeight="1">
      <c r="T876" s="73"/>
      <c r="U876" s="73"/>
    </row>
    <row r="877" ht="15.75" customHeight="1">
      <c r="T877" s="73"/>
      <c r="U877" s="73"/>
    </row>
    <row r="878" ht="15.75" customHeight="1">
      <c r="T878" s="73"/>
      <c r="U878" s="73"/>
    </row>
    <row r="879" ht="15.75" customHeight="1">
      <c r="T879" s="73"/>
      <c r="U879" s="73"/>
    </row>
    <row r="880" ht="15.75" customHeight="1">
      <c r="T880" s="73"/>
      <c r="U880" s="73"/>
    </row>
    <row r="881" ht="15.75" customHeight="1">
      <c r="T881" s="73"/>
      <c r="U881" s="73"/>
    </row>
    <row r="882" ht="15.75" customHeight="1">
      <c r="T882" s="73"/>
      <c r="U882" s="73"/>
    </row>
    <row r="883" ht="15.75" customHeight="1">
      <c r="T883" s="73"/>
      <c r="U883" s="73"/>
    </row>
    <row r="884" ht="15.75" customHeight="1">
      <c r="T884" s="73"/>
      <c r="U884" s="73"/>
    </row>
    <row r="885" ht="15.75" customHeight="1">
      <c r="T885" s="73"/>
      <c r="U885" s="73"/>
    </row>
    <row r="886" ht="15.75" customHeight="1">
      <c r="T886" s="73"/>
      <c r="U886" s="73"/>
    </row>
    <row r="887" ht="15.75" customHeight="1">
      <c r="T887" s="73"/>
      <c r="U887" s="73"/>
    </row>
    <row r="888" ht="15.75" customHeight="1">
      <c r="T888" s="73"/>
      <c r="U888" s="73"/>
    </row>
    <row r="889" ht="15.75" customHeight="1">
      <c r="T889" s="73"/>
      <c r="U889" s="73"/>
    </row>
    <row r="890" ht="15.75" customHeight="1">
      <c r="T890" s="73"/>
      <c r="U890" s="73"/>
    </row>
    <row r="891" ht="15.75" customHeight="1">
      <c r="T891" s="73"/>
      <c r="U891" s="73"/>
    </row>
    <row r="892" ht="15.75" customHeight="1">
      <c r="T892" s="73"/>
      <c r="U892" s="73"/>
    </row>
    <row r="893" ht="15.75" customHeight="1">
      <c r="T893" s="73"/>
      <c r="U893" s="73"/>
    </row>
    <row r="894" ht="15.75" customHeight="1">
      <c r="T894" s="73"/>
      <c r="U894" s="73"/>
    </row>
    <row r="895" ht="15.75" customHeight="1">
      <c r="T895" s="73"/>
      <c r="U895" s="73"/>
    </row>
    <row r="896" ht="15.75" customHeight="1">
      <c r="T896" s="73"/>
      <c r="U896" s="73"/>
    </row>
    <row r="897" ht="15.75" customHeight="1">
      <c r="T897" s="73"/>
      <c r="U897" s="73"/>
    </row>
    <row r="898" ht="15.75" customHeight="1">
      <c r="T898" s="73"/>
      <c r="U898" s="73"/>
    </row>
    <row r="899" ht="15.75" customHeight="1">
      <c r="T899" s="73"/>
      <c r="U899" s="73"/>
    </row>
    <row r="900" ht="15.75" customHeight="1">
      <c r="T900" s="73"/>
      <c r="U900" s="73"/>
    </row>
    <row r="901" ht="15.75" customHeight="1">
      <c r="T901" s="73"/>
      <c r="U901" s="73"/>
    </row>
    <row r="902" ht="15.75" customHeight="1">
      <c r="T902" s="73"/>
      <c r="U902" s="73"/>
    </row>
    <row r="903" ht="15.75" customHeight="1">
      <c r="T903" s="73"/>
      <c r="U903" s="73"/>
    </row>
    <row r="904" ht="15.75" customHeight="1">
      <c r="T904" s="73"/>
      <c r="U904" s="73"/>
    </row>
    <row r="905" ht="15.75" customHeight="1">
      <c r="T905" s="73"/>
      <c r="U905" s="73"/>
    </row>
    <row r="906" ht="15.75" customHeight="1">
      <c r="T906" s="73"/>
      <c r="U906" s="73"/>
    </row>
    <row r="907" ht="15.75" customHeight="1">
      <c r="T907" s="73"/>
      <c r="U907" s="73"/>
    </row>
    <row r="908" ht="15.75" customHeight="1">
      <c r="T908" s="73"/>
      <c r="U908" s="73"/>
    </row>
    <row r="909" ht="15.75" customHeight="1">
      <c r="T909" s="73"/>
      <c r="U909" s="73"/>
    </row>
    <row r="910" ht="15.75" customHeight="1">
      <c r="T910" s="73"/>
      <c r="U910" s="73"/>
    </row>
    <row r="911" ht="15.75" customHeight="1">
      <c r="T911" s="73"/>
      <c r="U911" s="73"/>
    </row>
    <row r="912" ht="15.75" customHeight="1">
      <c r="T912" s="73"/>
      <c r="U912" s="73"/>
    </row>
    <row r="913" ht="15.75" customHeight="1">
      <c r="T913" s="73"/>
      <c r="U913" s="73"/>
    </row>
    <row r="914" ht="15.75" customHeight="1">
      <c r="T914" s="73"/>
      <c r="U914" s="73"/>
    </row>
    <row r="915" ht="15.75" customHeight="1">
      <c r="T915" s="73"/>
      <c r="U915" s="73"/>
    </row>
    <row r="916" ht="15.75" customHeight="1">
      <c r="T916" s="73"/>
      <c r="U916" s="73"/>
    </row>
    <row r="917" ht="15.75" customHeight="1">
      <c r="T917" s="73"/>
      <c r="U917" s="73"/>
    </row>
    <row r="918" ht="15.75" customHeight="1">
      <c r="T918" s="73"/>
      <c r="U918" s="73"/>
    </row>
    <row r="919" ht="15.75" customHeight="1">
      <c r="T919" s="73"/>
      <c r="U919" s="73"/>
    </row>
    <row r="920" ht="15.75" customHeight="1">
      <c r="T920" s="73"/>
      <c r="U920" s="73"/>
    </row>
    <row r="921" ht="15.75" customHeight="1">
      <c r="T921" s="73"/>
      <c r="U921" s="73"/>
    </row>
    <row r="922" ht="15.75" customHeight="1">
      <c r="T922" s="73"/>
      <c r="U922" s="73"/>
    </row>
    <row r="923" ht="15.75" customHeight="1">
      <c r="T923" s="73"/>
      <c r="U923" s="73"/>
    </row>
    <row r="924" ht="15.75" customHeight="1">
      <c r="T924" s="73"/>
      <c r="U924" s="73"/>
    </row>
    <row r="925" ht="15.75" customHeight="1">
      <c r="T925" s="73"/>
      <c r="U925" s="73"/>
    </row>
    <row r="926" ht="15.75" customHeight="1">
      <c r="T926" s="73"/>
      <c r="U926" s="73"/>
    </row>
    <row r="927" ht="15.75" customHeight="1">
      <c r="T927" s="73"/>
      <c r="U927" s="73"/>
    </row>
    <row r="928" ht="15.75" customHeight="1">
      <c r="T928" s="73"/>
      <c r="U928" s="73"/>
    </row>
    <row r="929" ht="15.75" customHeight="1">
      <c r="T929" s="73"/>
      <c r="U929" s="73"/>
    </row>
    <row r="930" ht="15.75" customHeight="1">
      <c r="T930" s="73"/>
      <c r="U930" s="73"/>
    </row>
    <row r="931" ht="15.75" customHeight="1">
      <c r="T931" s="73"/>
      <c r="U931" s="73"/>
    </row>
    <row r="932" ht="15.75" customHeight="1">
      <c r="T932" s="73"/>
      <c r="U932" s="73"/>
    </row>
    <row r="933" ht="15.75" customHeight="1">
      <c r="T933" s="73"/>
      <c r="U933" s="73"/>
    </row>
    <row r="934" ht="15.75" customHeight="1">
      <c r="T934" s="73"/>
      <c r="U934" s="73"/>
    </row>
    <row r="935" ht="15.75" customHeight="1">
      <c r="T935" s="73"/>
      <c r="U935" s="73"/>
    </row>
    <row r="936" ht="15.75" customHeight="1">
      <c r="T936" s="73"/>
      <c r="U936" s="73"/>
    </row>
    <row r="937" ht="15.75" customHeight="1">
      <c r="T937" s="73"/>
      <c r="U937" s="73"/>
    </row>
    <row r="938" ht="15.75" customHeight="1">
      <c r="T938" s="73"/>
      <c r="U938" s="73"/>
    </row>
    <row r="939" ht="15.75" customHeight="1">
      <c r="T939" s="73"/>
      <c r="U939" s="73"/>
    </row>
    <row r="940" ht="15.75" customHeight="1">
      <c r="T940" s="73"/>
      <c r="U940" s="73"/>
    </row>
    <row r="941" ht="15.75" customHeight="1">
      <c r="T941" s="73"/>
      <c r="U941" s="73"/>
    </row>
    <row r="942" ht="15.75" customHeight="1">
      <c r="T942" s="73"/>
      <c r="U942" s="73"/>
    </row>
    <row r="943" ht="15.75" customHeight="1">
      <c r="T943" s="73"/>
      <c r="U943" s="73"/>
    </row>
    <row r="944" ht="15.75" customHeight="1">
      <c r="T944" s="73"/>
      <c r="U944" s="73"/>
    </row>
    <row r="945" ht="15.75" customHeight="1">
      <c r="T945" s="73"/>
      <c r="U945" s="73"/>
    </row>
    <row r="946" ht="15.75" customHeight="1">
      <c r="T946" s="73"/>
      <c r="U946" s="73"/>
    </row>
    <row r="947" ht="15.75" customHeight="1">
      <c r="T947" s="73"/>
      <c r="U947" s="73"/>
    </row>
    <row r="948" ht="15.75" customHeight="1">
      <c r="T948" s="73"/>
      <c r="U948" s="73"/>
    </row>
    <row r="949" ht="15.75" customHeight="1">
      <c r="T949" s="73"/>
      <c r="U949" s="73"/>
    </row>
    <row r="950" ht="15.75" customHeight="1">
      <c r="T950" s="73"/>
      <c r="U950" s="73"/>
    </row>
    <row r="951" ht="15.75" customHeight="1">
      <c r="T951" s="73"/>
      <c r="U951" s="73"/>
    </row>
    <row r="952" ht="15.75" customHeight="1">
      <c r="T952" s="73"/>
      <c r="U952" s="73"/>
    </row>
    <row r="953" ht="15.75" customHeight="1">
      <c r="T953" s="73"/>
      <c r="U953" s="73"/>
    </row>
    <row r="954" ht="15.75" customHeight="1">
      <c r="T954" s="73"/>
      <c r="U954" s="73"/>
    </row>
    <row r="955" ht="15.75" customHeight="1">
      <c r="T955" s="73"/>
      <c r="U955" s="73"/>
    </row>
    <row r="956" ht="15.75" customHeight="1">
      <c r="T956" s="73"/>
      <c r="U956" s="73"/>
    </row>
    <row r="957" ht="15.75" customHeight="1">
      <c r="T957" s="73"/>
      <c r="U957" s="73"/>
    </row>
    <row r="958" ht="15.75" customHeight="1">
      <c r="T958" s="73"/>
      <c r="U958" s="73"/>
    </row>
    <row r="959" ht="15.75" customHeight="1">
      <c r="T959" s="73"/>
      <c r="U959" s="73"/>
    </row>
    <row r="960" ht="15.75" customHeight="1">
      <c r="T960" s="73"/>
      <c r="U960" s="73"/>
    </row>
    <row r="961" ht="15.75" customHeight="1">
      <c r="T961" s="73"/>
      <c r="U961" s="73"/>
    </row>
    <row r="962" ht="15.75" customHeight="1">
      <c r="T962" s="73"/>
      <c r="U962" s="73"/>
    </row>
    <row r="963" ht="15.75" customHeight="1">
      <c r="T963" s="73"/>
      <c r="U963" s="73"/>
    </row>
    <row r="964" ht="15.75" customHeight="1">
      <c r="T964" s="73"/>
      <c r="U964" s="73"/>
    </row>
    <row r="965" ht="15.75" customHeight="1">
      <c r="T965" s="73"/>
      <c r="U965" s="73"/>
    </row>
    <row r="966" ht="15.75" customHeight="1">
      <c r="T966" s="73"/>
      <c r="U966" s="73"/>
    </row>
    <row r="967" ht="15.75" customHeight="1">
      <c r="T967" s="73"/>
      <c r="U967" s="73"/>
    </row>
    <row r="968" ht="15.75" customHeight="1">
      <c r="T968" s="73"/>
      <c r="U968" s="73"/>
    </row>
    <row r="969" ht="15.75" customHeight="1">
      <c r="T969" s="73"/>
      <c r="U969" s="73"/>
    </row>
    <row r="970" ht="15.75" customHeight="1">
      <c r="T970" s="73"/>
      <c r="U970" s="73"/>
    </row>
    <row r="971" ht="15.75" customHeight="1">
      <c r="T971" s="73"/>
      <c r="U971" s="73"/>
    </row>
    <row r="972" ht="15.75" customHeight="1">
      <c r="T972" s="73"/>
      <c r="U972" s="73"/>
    </row>
    <row r="973" ht="15.75" customHeight="1">
      <c r="T973" s="73"/>
      <c r="U973" s="73"/>
    </row>
    <row r="974" ht="15.75" customHeight="1">
      <c r="T974" s="73"/>
      <c r="U974" s="73"/>
    </row>
    <row r="975" ht="15.75" customHeight="1">
      <c r="T975" s="73"/>
      <c r="U975" s="73"/>
    </row>
    <row r="976" ht="15.75" customHeight="1">
      <c r="T976" s="73"/>
      <c r="U976" s="73"/>
    </row>
    <row r="977" ht="15.75" customHeight="1">
      <c r="T977" s="73"/>
      <c r="U977" s="73"/>
    </row>
    <row r="978" ht="15.75" customHeight="1">
      <c r="T978" s="73"/>
      <c r="U978" s="73"/>
    </row>
    <row r="979" ht="15.75" customHeight="1">
      <c r="T979" s="73"/>
      <c r="U979" s="73"/>
    </row>
    <row r="980" ht="15.75" customHeight="1">
      <c r="T980" s="73"/>
      <c r="U980" s="73"/>
    </row>
    <row r="981" ht="15.75" customHeight="1">
      <c r="T981" s="73"/>
      <c r="U981" s="73"/>
    </row>
    <row r="982" ht="15.75" customHeight="1">
      <c r="T982" s="73"/>
      <c r="U982" s="73"/>
    </row>
    <row r="983" ht="15.75" customHeight="1">
      <c r="T983" s="73"/>
      <c r="U983" s="73"/>
    </row>
    <row r="984" ht="15.75" customHeight="1">
      <c r="T984" s="73"/>
      <c r="U984" s="73"/>
    </row>
    <row r="985" ht="15.75" customHeight="1">
      <c r="T985" s="73"/>
      <c r="U985" s="73"/>
    </row>
    <row r="986" ht="15.75" customHeight="1">
      <c r="T986" s="73"/>
      <c r="U986" s="73"/>
    </row>
    <row r="987" ht="15.75" customHeight="1">
      <c r="T987" s="73"/>
      <c r="U987" s="73"/>
    </row>
    <row r="988" ht="15.75" customHeight="1">
      <c r="T988" s="73"/>
      <c r="U988" s="73"/>
    </row>
    <row r="989" ht="15.75" customHeight="1">
      <c r="T989" s="73"/>
      <c r="U989" s="73"/>
    </row>
    <row r="990" ht="15.75" customHeight="1">
      <c r="T990" s="73"/>
      <c r="U990" s="73"/>
    </row>
  </sheetData>
  <mergeCells count="1093">
    <mergeCell ref="F26:W26"/>
    <mergeCell ref="X26:Y26"/>
    <mergeCell ref="F27:W27"/>
    <mergeCell ref="X27:Y27"/>
    <mergeCell ref="F28:W28"/>
    <mergeCell ref="X28:Y28"/>
    <mergeCell ref="A29:Y29"/>
    <mergeCell ref="O32:Q32"/>
    <mergeCell ref="R32:S32"/>
    <mergeCell ref="T32:U32"/>
    <mergeCell ref="V32:W32"/>
    <mergeCell ref="A30:Y30"/>
    <mergeCell ref="C31:F31"/>
    <mergeCell ref="G31:J31"/>
    <mergeCell ref="K31:W31"/>
    <mergeCell ref="C32:F32"/>
    <mergeCell ref="G32:J32"/>
    <mergeCell ref="K32:N32"/>
    <mergeCell ref="C33:F33"/>
    <mergeCell ref="G33:J33"/>
    <mergeCell ref="K33:N33"/>
    <mergeCell ref="O33:Q33"/>
    <mergeCell ref="R33:S33"/>
    <mergeCell ref="T33:U33"/>
    <mergeCell ref="V33:W33"/>
    <mergeCell ref="R37:S37"/>
    <mergeCell ref="T37:U37"/>
    <mergeCell ref="V37:W37"/>
    <mergeCell ref="T44:U44"/>
    <mergeCell ref="V44:W44"/>
    <mergeCell ref="O44:Q44"/>
    <mergeCell ref="R44:S44"/>
    <mergeCell ref="C41:F41"/>
    <mergeCell ref="C43:F43"/>
    <mergeCell ref="G43:J43"/>
    <mergeCell ref="K43:W43"/>
    <mergeCell ref="C44:F44"/>
    <mergeCell ref="G44:J44"/>
    <mergeCell ref="K44:N44"/>
    <mergeCell ref="C45:F45"/>
    <mergeCell ref="G45:J45"/>
    <mergeCell ref="K45:N45"/>
    <mergeCell ref="O45:Q45"/>
    <mergeCell ref="R45:S45"/>
    <mergeCell ref="T45:U45"/>
    <mergeCell ref="V45:W45"/>
    <mergeCell ref="C46:F46"/>
    <mergeCell ref="G46:J46"/>
    <mergeCell ref="K46:N46"/>
    <mergeCell ref="O46:Q46"/>
    <mergeCell ref="R46:S46"/>
    <mergeCell ref="T46:U46"/>
    <mergeCell ref="V46:W46"/>
    <mergeCell ref="G47:J47"/>
    <mergeCell ref="K47:N47"/>
    <mergeCell ref="O47:Q47"/>
    <mergeCell ref="R47:S47"/>
    <mergeCell ref="T47:U47"/>
    <mergeCell ref="V47:W47"/>
    <mergeCell ref="A48:Y48"/>
    <mergeCell ref="K49:W49"/>
    <mergeCell ref="R50:S50"/>
    <mergeCell ref="T50:U50"/>
    <mergeCell ref="V50:W50"/>
    <mergeCell ref="C47:F47"/>
    <mergeCell ref="C49:F49"/>
    <mergeCell ref="G49:J49"/>
    <mergeCell ref="C50:F50"/>
    <mergeCell ref="G50:J50"/>
    <mergeCell ref="K50:N50"/>
    <mergeCell ref="O50:Q50"/>
    <mergeCell ref="F12:W12"/>
    <mergeCell ref="X12:Y12"/>
    <mergeCell ref="F13:W13"/>
    <mergeCell ref="X13:Y13"/>
    <mergeCell ref="F14:W14"/>
    <mergeCell ref="X14:Y14"/>
    <mergeCell ref="X15:Y15"/>
    <mergeCell ref="F15:W15"/>
    <mergeCell ref="F16:W16"/>
    <mergeCell ref="X16:Y16"/>
    <mergeCell ref="F17:W17"/>
    <mergeCell ref="X17:Y17"/>
    <mergeCell ref="F18:W18"/>
    <mergeCell ref="X18:Y18"/>
    <mergeCell ref="B25:E25"/>
    <mergeCell ref="B26:E26"/>
    <mergeCell ref="B27:E27"/>
    <mergeCell ref="B28:E28"/>
    <mergeCell ref="B18:E18"/>
    <mergeCell ref="B19:E19"/>
    <mergeCell ref="B20:E20"/>
    <mergeCell ref="B21:E21"/>
    <mergeCell ref="B22:E22"/>
    <mergeCell ref="B23:E23"/>
    <mergeCell ref="B24:E24"/>
    <mergeCell ref="A1:Y1"/>
    <mergeCell ref="A2:Y2"/>
    <mergeCell ref="B3:E3"/>
    <mergeCell ref="F3:W3"/>
    <mergeCell ref="X3:Y3"/>
    <mergeCell ref="F4:W4"/>
    <mergeCell ref="X4:Y4"/>
    <mergeCell ref="F5:W5"/>
    <mergeCell ref="X5:Y5"/>
    <mergeCell ref="F6:W6"/>
    <mergeCell ref="X6:Y6"/>
    <mergeCell ref="F7:W7"/>
    <mergeCell ref="X7:Y7"/>
    <mergeCell ref="X8:Y8"/>
    <mergeCell ref="B4:E4"/>
    <mergeCell ref="B5:E5"/>
    <mergeCell ref="B6:E6"/>
    <mergeCell ref="B7:E7"/>
    <mergeCell ref="B8:E8"/>
    <mergeCell ref="B9:E9"/>
    <mergeCell ref="B10:E10"/>
    <mergeCell ref="F8:W8"/>
    <mergeCell ref="F9:W9"/>
    <mergeCell ref="X9:Y9"/>
    <mergeCell ref="F10:W10"/>
    <mergeCell ref="X10:Y10"/>
    <mergeCell ref="F11:W11"/>
    <mergeCell ref="X11:Y11"/>
    <mergeCell ref="B11:E11"/>
    <mergeCell ref="B12:E12"/>
    <mergeCell ref="B13:E13"/>
    <mergeCell ref="B14:E14"/>
    <mergeCell ref="B15:E15"/>
    <mergeCell ref="B16:E16"/>
    <mergeCell ref="B17:E17"/>
    <mergeCell ref="F19:W19"/>
    <mergeCell ref="X19:Y19"/>
    <mergeCell ref="F20:W20"/>
    <mergeCell ref="X20:Y20"/>
    <mergeCell ref="F21:W21"/>
    <mergeCell ref="X21:Y21"/>
    <mergeCell ref="X22:Y22"/>
    <mergeCell ref="F22:W22"/>
    <mergeCell ref="F23:W23"/>
    <mergeCell ref="X23:Y23"/>
    <mergeCell ref="F24:W24"/>
    <mergeCell ref="X24:Y24"/>
    <mergeCell ref="F25:W25"/>
    <mergeCell ref="X25:Y25"/>
    <mergeCell ref="G34:J34"/>
    <mergeCell ref="K34:N34"/>
    <mergeCell ref="O34:Q34"/>
    <mergeCell ref="R34:S34"/>
    <mergeCell ref="T34:U34"/>
    <mergeCell ref="V34:W34"/>
    <mergeCell ref="A35:Y35"/>
    <mergeCell ref="K36:W36"/>
    <mergeCell ref="C34:F34"/>
    <mergeCell ref="C36:F36"/>
    <mergeCell ref="G36:J36"/>
    <mergeCell ref="C37:F37"/>
    <mergeCell ref="G37:J37"/>
    <mergeCell ref="K37:N37"/>
    <mergeCell ref="O37:Q37"/>
    <mergeCell ref="C38:F38"/>
    <mergeCell ref="G38:J38"/>
    <mergeCell ref="K38:N38"/>
    <mergeCell ref="O38:Q38"/>
    <mergeCell ref="R38:S38"/>
    <mergeCell ref="T38:U38"/>
    <mergeCell ref="V38:W38"/>
    <mergeCell ref="C39:F39"/>
    <mergeCell ref="G39:J39"/>
    <mergeCell ref="K39:N39"/>
    <mergeCell ref="O39:Q39"/>
    <mergeCell ref="R39:S39"/>
    <mergeCell ref="T39:U39"/>
    <mergeCell ref="V39:W39"/>
    <mergeCell ref="C40:F40"/>
    <mergeCell ref="G40:J40"/>
    <mergeCell ref="K40:N40"/>
    <mergeCell ref="O40:Q40"/>
    <mergeCell ref="R40:S40"/>
    <mergeCell ref="T40:U40"/>
    <mergeCell ref="V40:W40"/>
    <mergeCell ref="G41:J41"/>
    <mergeCell ref="K41:N41"/>
    <mergeCell ref="O41:Q41"/>
    <mergeCell ref="R41:S41"/>
    <mergeCell ref="T41:U41"/>
    <mergeCell ref="V41:W41"/>
    <mergeCell ref="A42:Y42"/>
    <mergeCell ref="C58:F58"/>
    <mergeCell ref="G58:J58"/>
    <mergeCell ref="K58:N58"/>
    <mergeCell ref="O58:Q58"/>
    <mergeCell ref="R58:S58"/>
    <mergeCell ref="T58:U58"/>
    <mergeCell ref="V58:W58"/>
    <mergeCell ref="C59:F59"/>
    <mergeCell ref="G59:J59"/>
    <mergeCell ref="K59:N59"/>
    <mergeCell ref="O59:Q59"/>
    <mergeCell ref="R59:S59"/>
    <mergeCell ref="T59:U59"/>
    <mergeCell ref="V59:W59"/>
    <mergeCell ref="G60:J60"/>
    <mergeCell ref="K60:N60"/>
    <mergeCell ref="O60:Q60"/>
    <mergeCell ref="R60:S60"/>
    <mergeCell ref="T60:U60"/>
    <mergeCell ref="V60:W60"/>
    <mergeCell ref="A61:Y61"/>
    <mergeCell ref="K62:W62"/>
    <mergeCell ref="C60:F60"/>
    <mergeCell ref="C62:F62"/>
    <mergeCell ref="G62:J62"/>
    <mergeCell ref="C63:F63"/>
    <mergeCell ref="G63:J63"/>
    <mergeCell ref="K63:N63"/>
    <mergeCell ref="O63:Q63"/>
    <mergeCell ref="V63:W63"/>
    <mergeCell ref="T64:U64"/>
    <mergeCell ref="V64:W64"/>
    <mergeCell ref="R63:S63"/>
    <mergeCell ref="T63:U63"/>
    <mergeCell ref="C64:F64"/>
    <mergeCell ref="G64:J64"/>
    <mergeCell ref="K64:N64"/>
    <mergeCell ref="O64:Q64"/>
    <mergeCell ref="R64:S64"/>
    <mergeCell ref="C65:F65"/>
    <mergeCell ref="G65:J65"/>
    <mergeCell ref="K65:N65"/>
    <mergeCell ref="O65:Q65"/>
    <mergeCell ref="R65:S65"/>
    <mergeCell ref="T65:U65"/>
    <mergeCell ref="V65:W65"/>
    <mergeCell ref="G66:J66"/>
    <mergeCell ref="K66:N66"/>
    <mergeCell ref="O66:Q66"/>
    <mergeCell ref="R66:S66"/>
    <mergeCell ref="T66:U66"/>
    <mergeCell ref="V66:W66"/>
    <mergeCell ref="A67:Y67"/>
    <mergeCell ref="C51:F51"/>
    <mergeCell ref="G51:J51"/>
    <mergeCell ref="K51:N51"/>
    <mergeCell ref="O51:Q51"/>
    <mergeCell ref="R51:S51"/>
    <mergeCell ref="T51:U51"/>
    <mergeCell ref="V51:W51"/>
    <mergeCell ref="C52:F52"/>
    <mergeCell ref="G52:J52"/>
    <mergeCell ref="K52:N52"/>
    <mergeCell ref="O52:Q52"/>
    <mergeCell ref="R52:S52"/>
    <mergeCell ref="T52:U52"/>
    <mergeCell ref="V52:W52"/>
    <mergeCell ref="C53:F53"/>
    <mergeCell ref="G53:J53"/>
    <mergeCell ref="K53:N53"/>
    <mergeCell ref="O53:Q53"/>
    <mergeCell ref="R53:S53"/>
    <mergeCell ref="T53:U53"/>
    <mergeCell ref="V53:W53"/>
    <mergeCell ref="G54:J54"/>
    <mergeCell ref="K54:N54"/>
    <mergeCell ref="O54:Q54"/>
    <mergeCell ref="R54:S54"/>
    <mergeCell ref="T54:U54"/>
    <mergeCell ref="V54:W54"/>
    <mergeCell ref="A55:Y55"/>
    <mergeCell ref="K56:W56"/>
    <mergeCell ref="R57:S57"/>
    <mergeCell ref="T57:U57"/>
    <mergeCell ref="V57:W57"/>
    <mergeCell ref="C54:F54"/>
    <mergeCell ref="C56:F56"/>
    <mergeCell ref="G56:J56"/>
    <mergeCell ref="C57:F57"/>
    <mergeCell ref="G57:J57"/>
    <mergeCell ref="K57:N57"/>
    <mergeCell ref="O57:Q57"/>
    <mergeCell ref="T69:U69"/>
    <mergeCell ref="V69:W69"/>
    <mergeCell ref="O69:Q69"/>
    <mergeCell ref="R69:S69"/>
    <mergeCell ref="C66:F66"/>
    <mergeCell ref="C68:F68"/>
    <mergeCell ref="G68:J68"/>
    <mergeCell ref="K68:W68"/>
    <mergeCell ref="C69:F69"/>
    <mergeCell ref="G69:J69"/>
    <mergeCell ref="K69:N69"/>
    <mergeCell ref="C70:F70"/>
    <mergeCell ref="G70:J70"/>
    <mergeCell ref="K70:N70"/>
    <mergeCell ref="O70:Q70"/>
    <mergeCell ref="R70:S70"/>
    <mergeCell ref="T70:U70"/>
    <mergeCell ref="V70:W70"/>
    <mergeCell ref="C71:F71"/>
    <mergeCell ref="G71:J71"/>
    <mergeCell ref="K71:N71"/>
    <mergeCell ref="O71:Q71"/>
    <mergeCell ref="R71:S71"/>
    <mergeCell ref="T71:U71"/>
    <mergeCell ref="V71:W71"/>
    <mergeCell ref="C72:F72"/>
    <mergeCell ref="G72:J72"/>
    <mergeCell ref="K72:N72"/>
    <mergeCell ref="O72:Q72"/>
    <mergeCell ref="R72:S72"/>
    <mergeCell ref="T72:U72"/>
    <mergeCell ref="V72:W72"/>
    <mergeCell ref="C73:F73"/>
    <mergeCell ref="G73:J73"/>
    <mergeCell ref="K73:N73"/>
    <mergeCell ref="O73:Q73"/>
    <mergeCell ref="R73:S73"/>
    <mergeCell ref="T73:U73"/>
    <mergeCell ref="V73:W73"/>
    <mergeCell ref="C76:F76"/>
    <mergeCell ref="G76:J76"/>
    <mergeCell ref="K76:N76"/>
    <mergeCell ref="O76:Q76"/>
    <mergeCell ref="R76:S76"/>
    <mergeCell ref="T76:U76"/>
    <mergeCell ref="V76:W76"/>
    <mergeCell ref="C82:F82"/>
    <mergeCell ref="G82:J82"/>
    <mergeCell ref="K82:N82"/>
    <mergeCell ref="O82:Q82"/>
    <mergeCell ref="R82:S82"/>
    <mergeCell ref="T82:U82"/>
    <mergeCell ref="V82:W82"/>
    <mergeCell ref="C83:F83"/>
    <mergeCell ref="G83:J83"/>
    <mergeCell ref="K83:N83"/>
    <mergeCell ref="O83:Q83"/>
    <mergeCell ref="R83:S83"/>
    <mergeCell ref="T83:U83"/>
    <mergeCell ref="V83:W83"/>
    <mergeCell ref="T88:U88"/>
    <mergeCell ref="V88:W88"/>
    <mergeCell ref="R87:S87"/>
    <mergeCell ref="T87:U87"/>
    <mergeCell ref="C88:F88"/>
    <mergeCell ref="G88:J88"/>
    <mergeCell ref="K88:N88"/>
    <mergeCell ref="O88:Q88"/>
    <mergeCell ref="R88:S88"/>
    <mergeCell ref="G84:J84"/>
    <mergeCell ref="K84:N84"/>
    <mergeCell ref="O84:Q84"/>
    <mergeCell ref="R84:S84"/>
    <mergeCell ref="T84:U84"/>
    <mergeCell ref="V84:W84"/>
    <mergeCell ref="A85:Y85"/>
    <mergeCell ref="K86:W86"/>
    <mergeCell ref="C84:F84"/>
    <mergeCell ref="C86:F86"/>
    <mergeCell ref="G86:J86"/>
    <mergeCell ref="C87:F87"/>
    <mergeCell ref="G87:J87"/>
    <mergeCell ref="K87:N87"/>
    <mergeCell ref="O87:Q87"/>
    <mergeCell ref="V87:W87"/>
    <mergeCell ref="C89:F89"/>
    <mergeCell ref="G89:J89"/>
    <mergeCell ref="K89:N89"/>
    <mergeCell ref="O89:Q89"/>
    <mergeCell ref="R89:S89"/>
    <mergeCell ref="T89:U89"/>
    <mergeCell ref="V89:W89"/>
    <mergeCell ref="G90:J90"/>
    <mergeCell ref="K90:N90"/>
    <mergeCell ref="O90:Q90"/>
    <mergeCell ref="R90:S90"/>
    <mergeCell ref="T90:U90"/>
    <mergeCell ref="V90:W90"/>
    <mergeCell ref="A91:Y91"/>
    <mergeCell ref="C74:F74"/>
    <mergeCell ref="G74:J74"/>
    <mergeCell ref="K74:N74"/>
    <mergeCell ref="O74:Q74"/>
    <mergeCell ref="R74:S74"/>
    <mergeCell ref="T74:U74"/>
    <mergeCell ref="V74:W74"/>
    <mergeCell ref="G75:J75"/>
    <mergeCell ref="K75:N75"/>
    <mergeCell ref="O75:Q75"/>
    <mergeCell ref="R75:S75"/>
    <mergeCell ref="T75:U75"/>
    <mergeCell ref="V75:W75"/>
    <mergeCell ref="A77:Y77"/>
    <mergeCell ref="K78:W78"/>
    <mergeCell ref="R79:S79"/>
    <mergeCell ref="T79:U79"/>
    <mergeCell ref="V79:W79"/>
    <mergeCell ref="C75:F75"/>
    <mergeCell ref="C78:F78"/>
    <mergeCell ref="G78:J78"/>
    <mergeCell ref="C79:F79"/>
    <mergeCell ref="G79:J79"/>
    <mergeCell ref="K79:N79"/>
    <mergeCell ref="O79:Q79"/>
    <mergeCell ref="C80:F80"/>
    <mergeCell ref="G80:J80"/>
    <mergeCell ref="K80:N80"/>
    <mergeCell ref="O80:Q80"/>
    <mergeCell ref="R80:S80"/>
    <mergeCell ref="T80:U80"/>
    <mergeCell ref="V80:W80"/>
    <mergeCell ref="C81:F81"/>
    <mergeCell ref="G81:J81"/>
    <mergeCell ref="K81:N81"/>
    <mergeCell ref="O81:Q81"/>
    <mergeCell ref="R81:S81"/>
    <mergeCell ref="T81:U81"/>
    <mergeCell ref="V81:W81"/>
    <mergeCell ref="T93:U93"/>
    <mergeCell ref="V93:W93"/>
    <mergeCell ref="G97:J97"/>
    <mergeCell ref="K97:N97"/>
    <mergeCell ref="O97:Q97"/>
    <mergeCell ref="R97:S97"/>
    <mergeCell ref="T97:U97"/>
    <mergeCell ref="V97:W97"/>
    <mergeCell ref="A98:Y98"/>
    <mergeCell ref="K99:W99"/>
    <mergeCell ref="C97:F97"/>
    <mergeCell ref="C99:F99"/>
    <mergeCell ref="G99:J99"/>
    <mergeCell ref="C100:F100"/>
    <mergeCell ref="G100:J100"/>
    <mergeCell ref="K100:N100"/>
    <mergeCell ref="O100:Q100"/>
    <mergeCell ref="O93:Q93"/>
    <mergeCell ref="R93:S93"/>
    <mergeCell ref="C90:F90"/>
    <mergeCell ref="C92:F92"/>
    <mergeCell ref="G92:J92"/>
    <mergeCell ref="K92:W92"/>
    <mergeCell ref="C93:F93"/>
    <mergeCell ref="G93:J93"/>
    <mergeCell ref="K93:N93"/>
    <mergeCell ref="C94:F94"/>
    <mergeCell ref="G94:J94"/>
    <mergeCell ref="K94:N94"/>
    <mergeCell ref="O94:Q94"/>
    <mergeCell ref="R94:S94"/>
    <mergeCell ref="T94:U94"/>
    <mergeCell ref="V94:W94"/>
    <mergeCell ref="C95:F95"/>
    <mergeCell ref="G95:J95"/>
    <mergeCell ref="K95:N95"/>
    <mergeCell ref="O95:Q95"/>
    <mergeCell ref="R95:S95"/>
    <mergeCell ref="T95:U95"/>
    <mergeCell ref="V95:W95"/>
    <mergeCell ref="C96:F96"/>
    <mergeCell ref="G96:J96"/>
    <mergeCell ref="K96:N96"/>
    <mergeCell ref="O96:Q96"/>
    <mergeCell ref="R96:S96"/>
    <mergeCell ref="T96:U96"/>
    <mergeCell ref="V96:W96"/>
    <mergeCell ref="R100:S100"/>
    <mergeCell ref="T100:U100"/>
    <mergeCell ref="V100:W100"/>
    <mergeCell ref="C103:F103"/>
    <mergeCell ref="G103:J103"/>
    <mergeCell ref="K103:N103"/>
    <mergeCell ref="O103:Q103"/>
    <mergeCell ref="R103:S103"/>
    <mergeCell ref="T103:U103"/>
    <mergeCell ref="V103:W103"/>
    <mergeCell ref="C109:F109"/>
    <mergeCell ref="G109:J109"/>
    <mergeCell ref="K109:N109"/>
    <mergeCell ref="O109:Q109"/>
    <mergeCell ref="R109:S109"/>
    <mergeCell ref="T109:U109"/>
    <mergeCell ref="V109:W109"/>
    <mergeCell ref="G110:J110"/>
    <mergeCell ref="K110:N110"/>
    <mergeCell ref="O110:Q110"/>
    <mergeCell ref="R110:S110"/>
    <mergeCell ref="T110:U110"/>
    <mergeCell ref="V110:W110"/>
    <mergeCell ref="A111:Y111"/>
    <mergeCell ref="C101:F101"/>
    <mergeCell ref="G101:J101"/>
    <mergeCell ref="K101:N101"/>
    <mergeCell ref="O101:Q101"/>
    <mergeCell ref="R101:S101"/>
    <mergeCell ref="T101:U101"/>
    <mergeCell ref="V101:W101"/>
    <mergeCell ref="G102:J102"/>
    <mergeCell ref="K102:N102"/>
    <mergeCell ref="O102:Q102"/>
    <mergeCell ref="R102:S102"/>
    <mergeCell ref="T102:U102"/>
    <mergeCell ref="V102:W102"/>
    <mergeCell ref="A104:Y104"/>
    <mergeCell ref="K105:W105"/>
    <mergeCell ref="R106:S106"/>
    <mergeCell ref="T106:U106"/>
    <mergeCell ref="V106:W106"/>
    <mergeCell ref="C102:F102"/>
    <mergeCell ref="C105:F105"/>
    <mergeCell ref="G105:J105"/>
    <mergeCell ref="C106:F106"/>
    <mergeCell ref="G106:J106"/>
    <mergeCell ref="K106:N106"/>
    <mergeCell ref="O106:Q106"/>
    <mergeCell ref="C107:F107"/>
    <mergeCell ref="G107:J107"/>
    <mergeCell ref="K107:N107"/>
    <mergeCell ref="O107:Q107"/>
    <mergeCell ref="R107:S107"/>
    <mergeCell ref="T107:U107"/>
    <mergeCell ref="V107:W107"/>
    <mergeCell ref="C108:F108"/>
    <mergeCell ref="G108:J108"/>
    <mergeCell ref="K108:N108"/>
    <mergeCell ref="O108:Q108"/>
    <mergeCell ref="R108:S108"/>
    <mergeCell ref="T108:U108"/>
    <mergeCell ref="V108:W108"/>
    <mergeCell ref="T113:U113"/>
    <mergeCell ref="V113:W113"/>
    <mergeCell ref="G117:J117"/>
    <mergeCell ref="K117:N117"/>
    <mergeCell ref="O117:Q117"/>
    <mergeCell ref="R117:S117"/>
    <mergeCell ref="T117:U117"/>
    <mergeCell ref="V117:W117"/>
    <mergeCell ref="A118:Y118"/>
    <mergeCell ref="K119:W119"/>
    <mergeCell ref="C117:F117"/>
    <mergeCell ref="C119:F119"/>
    <mergeCell ref="G119:J119"/>
    <mergeCell ref="C120:F120"/>
    <mergeCell ref="G120:J120"/>
    <mergeCell ref="K120:N120"/>
    <mergeCell ref="O120:Q120"/>
    <mergeCell ref="O113:Q113"/>
    <mergeCell ref="R113:S113"/>
    <mergeCell ref="C110:F110"/>
    <mergeCell ref="C112:F112"/>
    <mergeCell ref="G112:J112"/>
    <mergeCell ref="K112:W112"/>
    <mergeCell ref="C113:F113"/>
    <mergeCell ref="G113:J113"/>
    <mergeCell ref="K113:N113"/>
    <mergeCell ref="C114:F114"/>
    <mergeCell ref="G114:J114"/>
    <mergeCell ref="K114:N114"/>
    <mergeCell ref="O114:Q114"/>
    <mergeCell ref="R114:S114"/>
    <mergeCell ref="T114:U114"/>
    <mergeCell ref="V114:W114"/>
    <mergeCell ref="C115:F115"/>
    <mergeCell ref="G115:J115"/>
    <mergeCell ref="K115:N115"/>
    <mergeCell ref="O115:Q115"/>
    <mergeCell ref="R115:S115"/>
    <mergeCell ref="T115:U115"/>
    <mergeCell ref="V115:W115"/>
    <mergeCell ref="C116:F116"/>
    <mergeCell ref="G116:J116"/>
    <mergeCell ref="K116:N116"/>
    <mergeCell ref="O116:Q116"/>
    <mergeCell ref="R116:S116"/>
    <mergeCell ref="T116:U116"/>
    <mergeCell ref="V116:W116"/>
    <mergeCell ref="R120:S120"/>
    <mergeCell ref="T120:U120"/>
    <mergeCell ref="V120:W120"/>
    <mergeCell ref="C124:F124"/>
    <mergeCell ref="G124:J124"/>
    <mergeCell ref="K124:N124"/>
    <mergeCell ref="O124:Q124"/>
    <mergeCell ref="R124:S124"/>
    <mergeCell ref="T124:U124"/>
    <mergeCell ref="V124:W124"/>
    <mergeCell ref="C123:F123"/>
    <mergeCell ref="G123:J123"/>
    <mergeCell ref="K123:N123"/>
    <mergeCell ref="O123:Q123"/>
    <mergeCell ref="R123:S123"/>
    <mergeCell ref="T123:U123"/>
    <mergeCell ref="V123:W123"/>
    <mergeCell ref="C130:F130"/>
    <mergeCell ref="G130:J130"/>
    <mergeCell ref="K130:N130"/>
    <mergeCell ref="O130:Q130"/>
    <mergeCell ref="R130:S130"/>
    <mergeCell ref="T130:U130"/>
    <mergeCell ref="V130:W130"/>
    <mergeCell ref="C131:F131"/>
    <mergeCell ref="G131:J131"/>
    <mergeCell ref="K131:N131"/>
    <mergeCell ref="O131:Q131"/>
    <mergeCell ref="R131:S131"/>
    <mergeCell ref="T131:U131"/>
    <mergeCell ref="V131:W131"/>
    <mergeCell ref="G132:J132"/>
    <mergeCell ref="K132:N132"/>
    <mergeCell ref="O132:Q132"/>
    <mergeCell ref="R132:S132"/>
    <mergeCell ref="T132:U132"/>
    <mergeCell ref="V132:W132"/>
    <mergeCell ref="A133:Y133"/>
    <mergeCell ref="K134:W134"/>
    <mergeCell ref="C132:F132"/>
    <mergeCell ref="C134:F134"/>
    <mergeCell ref="G134:J134"/>
    <mergeCell ref="C135:F135"/>
    <mergeCell ref="G135:J135"/>
    <mergeCell ref="K135:N135"/>
    <mergeCell ref="O135:Q135"/>
    <mergeCell ref="V135:W135"/>
    <mergeCell ref="T136:U136"/>
    <mergeCell ref="V136:W136"/>
    <mergeCell ref="R135:S135"/>
    <mergeCell ref="T135:U135"/>
    <mergeCell ref="C136:F136"/>
    <mergeCell ref="G136:J136"/>
    <mergeCell ref="K136:N136"/>
    <mergeCell ref="O136:Q136"/>
    <mergeCell ref="R136:S136"/>
    <mergeCell ref="C137:F137"/>
    <mergeCell ref="G137:J137"/>
    <mergeCell ref="K137:N137"/>
    <mergeCell ref="O137:Q137"/>
    <mergeCell ref="R137:S137"/>
    <mergeCell ref="T137:U137"/>
    <mergeCell ref="V137:W137"/>
    <mergeCell ref="G138:J138"/>
    <mergeCell ref="K138:N138"/>
    <mergeCell ref="O138:Q138"/>
    <mergeCell ref="R138:S138"/>
    <mergeCell ref="T138:U138"/>
    <mergeCell ref="V138:W138"/>
    <mergeCell ref="A139:Y139"/>
    <mergeCell ref="C121:F121"/>
    <mergeCell ref="G121:J121"/>
    <mergeCell ref="K121:N121"/>
    <mergeCell ref="O121:Q121"/>
    <mergeCell ref="R121:S121"/>
    <mergeCell ref="T121:U121"/>
    <mergeCell ref="V121:W121"/>
    <mergeCell ref="G122:J122"/>
    <mergeCell ref="K122:N122"/>
    <mergeCell ref="O122:Q122"/>
    <mergeCell ref="R122:S122"/>
    <mergeCell ref="T122:U122"/>
    <mergeCell ref="V122:W122"/>
    <mergeCell ref="A125:Y125"/>
    <mergeCell ref="K126:W126"/>
    <mergeCell ref="R127:S127"/>
    <mergeCell ref="T127:U127"/>
    <mergeCell ref="V127:W127"/>
    <mergeCell ref="C122:F122"/>
    <mergeCell ref="C126:F126"/>
    <mergeCell ref="G126:J126"/>
    <mergeCell ref="C127:F127"/>
    <mergeCell ref="G127:J127"/>
    <mergeCell ref="K127:N127"/>
    <mergeCell ref="O127:Q127"/>
    <mergeCell ref="C128:F128"/>
    <mergeCell ref="G128:J128"/>
    <mergeCell ref="K128:N128"/>
    <mergeCell ref="O128:Q128"/>
    <mergeCell ref="R128:S128"/>
    <mergeCell ref="T128:U128"/>
    <mergeCell ref="V128:W128"/>
    <mergeCell ref="C129:F129"/>
    <mergeCell ref="G129:J129"/>
    <mergeCell ref="K129:N129"/>
    <mergeCell ref="O129:Q129"/>
    <mergeCell ref="R129:S129"/>
    <mergeCell ref="T129:U129"/>
    <mergeCell ref="V129:W129"/>
    <mergeCell ref="T141:U141"/>
    <mergeCell ref="V141:W141"/>
    <mergeCell ref="G145:J145"/>
    <mergeCell ref="K145:N145"/>
    <mergeCell ref="O145:Q145"/>
    <mergeCell ref="R145:S145"/>
    <mergeCell ref="T145:U145"/>
    <mergeCell ref="V145:W145"/>
    <mergeCell ref="A146:Y146"/>
    <mergeCell ref="K147:W147"/>
    <mergeCell ref="C145:F145"/>
    <mergeCell ref="C147:F147"/>
    <mergeCell ref="G147:J147"/>
    <mergeCell ref="C148:F148"/>
    <mergeCell ref="G148:J148"/>
    <mergeCell ref="K148:N148"/>
    <mergeCell ref="O148:Q148"/>
    <mergeCell ref="C149:F149"/>
    <mergeCell ref="G149:J149"/>
    <mergeCell ref="K149:N149"/>
    <mergeCell ref="O149:Q149"/>
    <mergeCell ref="R149:S149"/>
    <mergeCell ref="T149:U149"/>
    <mergeCell ref="V149:W149"/>
    <mergeCell ref="C150:F150"/>
    <mergeCell ref="G150:J150"/>
    <mergeCell ref="K150:N150"/>
    <mergeCell ref="O150:Q150"/>
    <mergeCell ref="R150:S150"/>
    <mergeCell ref="T150:U150"/>
    <mergeCell ref="V150:W150"/>
    <mergeCell ref="O141:Q141"/>
    <mergeCell ref="R141:S141"/>
    <mergeCell ref="C138:F138"/>
    <mergeCell ref="C140:F140"/>
    <mergeCell ref="G140:J140"/>
    <mergeCell ref="K140:W140"/>
    <mergeCell ref="C141:F141"/>
    <mergeCell ref="G141:J141"/>
    <mergeCell ref="K141:N141"/>
    <mergeCell ref="C142:F142"/>
    <mergeCell ref="G142:J142"/>
    <mergeCell ref="K142:N142"/>
    <mergeCell ref="O142:Q142"/>
    <mergeCell ref="R142:S142"/>
    <mergeCell ref="T142:U142"/>
    <mergeCell ref="V142:W142"/>
    <mergeCell ref="C143:F143"/>
    <mergeCell ref="G143:J143"/>
    <mergeCell ref="K143:N143"/>
    <mergeCell ref="O143:Q143"/>
    <mergeCell ref="R143:S143"/>
    <mergeCell ref="T143:U143"/>
    <mergeCell ref="V143:W143"/>
    <mergeCell ref="C144:F144"/>
    <mergeCell ref="G144:J144"/>
    <mergeCell ref="K144:N144"/>
    <mergeCell ref="O144:Q144"/>
    <mergeCell ref="R144:S144"/>
    <mergeCell ref="T144:U144"/>
    <mergeCell ref="V144:W144"/>
    <mergeCell ref="R148:S148"/>
    <mergeCell ref="T148:U148"/>
    <mergeCell ref="V148:W148"/>
    <mergeCell ref="C153:F153"/>
    <mergeCell ref="G153:J153"/>
    <mergeCell ref="K153:N153"/>
    <mergeCell ref="O153:Q153"/>
    <mergeCell ref="R153:S153"/>
    <mergeCell ref="T153:U153"/>
    <mergeCell ref="V153:W153"/>
    <mergeCell ref="C159:F159"/>
    <mergeCell ref="G159:J159"/>
    <mergeCell ref="K159:N159"/>
    <mergeCell ref="O159:Q159"/>
    <mergeCell ref="R159:S159"/>
    <mergeCell ref="T159:U159"/>
    <mergeCell ref="V159:W159"/>
    <mergeCell ref="G160:J160"/>
    <mergeCell ref="K160:N160"/>
    <mergeCell ref="O160:Q160"/>
    <mergeCell ref="R160:S160"/>
    <mergeCell ref="T160:U160"/>
    <mergeCell ref="V160:W160"/>
    <mergeCell ref="A161:Y161"/>
    <mergeCell ref="C151:F151"/>
    <mergeCell ref="G151:J151"/>
    <mergeCell ref="K151:N151"/>
    <mergeCell ref="O151:Q151"/>
    <mergeCell ref="R151:S151"/>
    <mergeCell ref="T151:U151"/>
    <mergeCell ref="V151:W151"/>
    <mergeCell ref="G152:J152"/>
    <mergeCell ref="K152:N152"/>
    <mergeCell ref="O152:Q152"/>
    <mergeCell ref="R152:S152"/>
    <mergeCell ref="T152:U152"/>
    <mergeCell ref="V152:W152"/>
    <mergeCell ref="A154:Y154"/>
    <mergeCell ref="K155:W155"/>
    <mergeCell ref="R156:S156"/>
    <mergeCell ref="T156:U156"/>
    <mergeCell ref="V156:W156"/>
    <mergeCell ref="C152:F152"/>
    <mergeCell ref="C155:F155"/>
    <mergeCell ref="G155:J155"/>
    <mergeCell ref="C156:F156"/>
    <mergeCell ref="G156:J156"/>
    <mergeCell ref="K156:N156"/>
    <mergeCell ref="O156:Q156"/>
    <mergeCell ref="C157:F157"/>
    <mergeCell ref="G157:J157"/>
    <mergeCell ref="K157:N157"/>
    <mergeCell ref="O157:Q157"/>
    <mergeCell ref="R157:S157"/>
    <mergeCell ref="T157:U157"/>
    <mergeCell ref="V157:W157"/>
    <mergeCell ref="C158:F158"/>
    <mergeCell ref="G158:J158"/>
    <mergeCell ref="K158:N158"/>
    <mergeCell ref="O158:Q158"/>
    <mergeCell ref="R158:S158"/>
    <mergeCell ref="T158:U158"/>
    <mergeCell ref="V158:W158"/>
    <mergeCell ref="T163:U163"/>
    <mergeCell ref="V163:W163"/>
    <mergeCell ref="G167:J167"/>
    <mergeCell ref="K167:N167"/>
    <mergeCell ref="O167:Q167"/>
    <mergeCell ref="R167:S167"/>
    <mergeCell ref="T167:U167"/>
    <mergeCell ref="V167:W167"/>
    <mergeCell ref="A168:Y168"/>
    <mergeCell ref="K169:W169"/>
    <mergeCell ref="C167:F167"/>
    <mergeCell ref="C169:F169"/>
    <mergeCell ref="G169:J169"/>
    <mergeCell ref="C170:F170"/>
    <mergeCell ref="G170:J170"/>
    <mergeCell ref="K170:N170"/>
    <mergeCell ref="O170:Q170"/>
    <mergeCell ref="C171:F171"/>
    <mergeCell ref="G171:J171"/>
    <mergeCell ref="K171:N171"/>
    <mergeCell ref="O171:Q171"/>
    <mergeCell ref="R171:S171"/>
    <mergeCell ref="T171:U171"/>
    <mergeCell ref="V171:W171"/>
    <mergeCell ref="C172:F172"/>
    <mergeCell ref="G172:J172"/>
    <mergeCell ref="K172:N172"/>
    <mergeCell ref="O172:Q172"/>
    <mergeCell ref="R172:S172"/>
    <mergeCell ref="T172:U172"/>
    <mergeCell ref="V172:W172"/>
    <mergeCell ref="O196:Q196"/>
    <mergeCell ref="R196:S196"/>
    <mergeCell ref="C193:F193"/>
    <mergeCell ref="C195:F195"/>
    <mergeCell ref="G195:J195"/>
    <mergeCell ref="K195:W195"/>
    <mergeCell ref="C196:F196"/>
    <mergeCell ref="G196:J196"/>
    <mergeCell ref="K196:N196"/>
    <mergeCell ref="O187:Q187"/>
    <mergeCell ref="R187:S187"/>
    <mergeCell ref="C184:F184"/>
    <mergeCell ref="C186:F186"/>
    <mergeCell ref="G186:J186"/>
    <mergeCell ref="K186:W186"/>
    <mergeCell ref="C187:F187"/>
    <mergeCell ref="G187:J187"/>
    <mergeCell ref="K187:N187"/>
    <mergeCell ref="C188:F188"/>
    <mergeCell ref="G188:J188"/>
    <mergeCell ref="K188:N188"/>
    <mergeCell ref="O188:Q188"/>
    <mergeCell ref="R188:S188"/>
    <mergeCell ref="T188:U188"/>
    <mergeCell ref="V188:W188"/>
    <mergeCell ref="C189:F189"/>
    <mergeCell ref="G189:J189"/>
    <mergeCell ref="K189:N189"/>
    <mergeCell ref="O189:Q189"/>
    <mergeCell ref="R189:S189"/>
    <mergeCell ref="T189:U189"/>
    <mergeCell ref="V189:W189"/>
    <mergeCell ref="C190:F190"/>
    <mergeCell ref="G190:J190"/>
    <mergeCell ref="K190:N190"/>
    <mergeCell ref="O190:Q190"/>
    <mergeCell ref="R190:S190"/>
    <mergeCell ref="T190:U190"/>
    <mergeCell ref="V190:W190"/>
    <mergeCell ref="C191:F191"/>
    <mergeCell ref="G191:J191"/>
    <mergeCell ref="K191:N191"/>
    <mergeCell ref="O191:Q191"/>
    <mergeCell ref="R191:S191"/>
    <mergeCell ref="T191:U191"/>
    <mergeCell ref="V191:W191"/>
    <mergeCell ref="C201:F201"/>
    <mergeCell ref="G201:J201"/>
    <mergeCell ref="K201:N201"/>
    <mergeCell ref="O201:Q201"/>
    <mergeCell ref="R201:S201"/>
    <mergeCell ref="T201:U201"/>
    <mergeCell ref="V201:W201"/>
    <mergeCell ref="C200:F200"/>
    <mergeCell ref="G200:J200"/>
    <mergeCell ref="K200:N200"/>
    <mergeCell ref="O200:Q200"/>
    <mergeCell ref="R200:S200"/>
    <mergeCell ref="T200:U200"/>
    <mergeCell ref="V200:W200"/>
    <mergeCell ref="O163:Q163"/>
    <mergeCell ref="R163:S163"/>
    <mergeCell ref="C160:F160"/>
    <mergeCell ref="C162:F162"/>
    <mergeCell ref="G162:J162"/>
    <mergeCell ref="K162:W162"/>
    <mergeCell ref="C163:F163"/>
    <mergeCell ref="G163:J163"/>
    <mergeCell ref="K163:N163"/>
    <mergeCell ref="C164:F164"/>
    <mergeCell ref="G164:J164"/>
    <mergeCell ref="K164:N164"/>
    <mergeCell ref="O164:Q164"/>
    <mergeCell ref="R164:S164"/>
    <mergeCell ref="T164:U164"/>
    <mergeCell ref="V164:W164"/>
    <mergeCell ref="C165:F165"/>
    <mergeCell ref="G165:J165"/>
    <mergeCell ref="K165:N165"/>
    <mergeCell ref="O165:Q165"/>
    <mergeCell ref="R165:S165"/>
    <mergeCell ref="T165:U165"/>
    <mergeCell ref="V165:W165"/>
    <mergeCell ref="C166:F166"/>
    <mergeCell ref="G166:J166"/>
    <mergeCell ref="K166:N166"/>
    <mergeCell ref="O166:Q166"/>
    <mergeCell ref="R166:S166"/>
    <mergeCell ref="T166:U166"/>
    <mergeCell ref="V166:W166"/>
    <mergeCell ref="R170:S170"/>
    <mergeCell ref="T170:U170"/>
    <mergeCell ref="V170:W170"/>
    <mergeCell ref="C175:F175"/>
    <mergeCell ref="G175:J175"/>
    <mergeCell ref="K175:N175"/>
    <mergeCell ref="O175:Q175"/>
    <mergeCell ref="R175:S175"/>
    <mergeCell ref="T175:U175"/>
    <mergeCell ref="V175:W175"/>
    <mergeCell ref="C181:F181"/>
    <mergeCell ref="G181:J181"/>
    <mergeCell ref="K181:N181"/>
    <mergeCell ref="O181:Q181"/>
    <mergeCell ref="R181:S181"/>
    <mergeCell ref="T181:U181"/>
    <mergeCell ref="V181:W181"/>
    <mergeCell ref="C182:F182"/>
    <mergeCell ref="G182:J182"/>
    <mergeCell ref="K182:N182"/>
    <mergeCell ref="O182:Q182"/>
    <mergeCell ref="R182:S182"/>
    <mergeCell ref="T182:U182"/>
    <mergeCell ref="V182:W182"/>
    <mergeCell ref="C183:F183"/>
    <mergeCell ref="G183:J183"/>
    <mergeCell ref="K183:N183"/>
    <mergeCell ref="O183:Q183"/>
    <mergeCell ref="R183:S183"/>
    <mergeCell ref="T183:U183"/>
    <mergeCell ref="V183:W183"/>
    <mergeCell ref="G184:J184"/>
    <mergeCell ref="K184:N184"/>
    <mergeCell ref="O184:Q184"/>
    <mergeCell ref="R184:S184"/>
    <mergeCell ref="T184:U184"/>
    <mergeCell ref="V184:W184"/>
    <mergeCell ref="A185:Y185"/>
    <mergeCell ref="C173:F173"/>
    <mergeCell ref="G173:J173"/>
    <mergeCell ref="K173:N173"/>
    <mergeCell ref="O173:Q173"/>
    <mergeCell ref="R173:S173"/>
    <mergeCell ref="T173:U173"/>
    <mergeCell ref="V173:W173"/>
    <mergeCell ref="G174:J174"/>
    <mergeCell ref="K174:N174"/>
    <mergeCell ref="O174:Q174"/>
    <mergeCell ref="R174:S174"/>
    <mergeCell ref="T174:U174"/>
    <mergeCell ref="V174:W174"/>
    <mergeCell ref="A176:Y176"/>
    <mergeCell ref="K177:W177"/>
    <mergeCell ref="R178:S178"/>
    <mergeCell ref="T178:U178"/>
    <mergeCell ref="V178:W178"/>
    <mergeCell ref="C174:F174"/>
    <mergeCell ref="C177:F177"/>
    <mergeCell ref="G177:J177"/>
    <mergeCell ref="C178:F178"/>
    <mergeCell ref="G178:J178"/>
    <mergeCell ref="K178:N178"/>
    <mergeCell ref="O178:Q178"/>
    <mergeCell ref="C179:F179"/>
    <mergeCell ref="G179:J179"/>
    <mergeCell ref="K179:N179"/>
    <mergeCell ref="O179:Q179"/>
    <mergeCell ref="R179:S179"/>
    <mergeCell ref="T179:U179"/>
    <mergeCell ref="V179:W179"/>
    <mergeCell ref="C180:F180"/>
    <mergeCell ref="G180:J180"/>
    <mergeCell ref="K180:N180"/>
    <mergeCell ref="O180:Q180"/>
    <mergeCell ref="R180:S180"/>
    <mergeCell ref="T180:U180"/>
    <mergeCell ref="V180:W180"/>
    <mergeCell ref="T187:U187"/>
    <mergeCell ref="V187:W187"/>
    <mergeCell ref="C192:F192"/>
    <mergeCell ref="G192:J192"/>
    <mergeCell ref="K192:N192"/>
    <mergeCell ref="O192:Q192"/>
    <mergeCell ref="R192:S192"/>
    <mergeCell ref="T192:U192"/>
    <mergeCell ref="V192:W192"/>
    <mergeCell ref="G193:J193"/>
    <mergeCell ref="K193:N193"/>
    <mergeCell ref="O193:Q193"/>
    <mergeCell ref="R193:S193"/>
    <mergeCell ref="T193:U193"/>
    <mergeCell ref="V193:W193"/>
    <mergeCell ref="A194:Y194"/>
    <mergeCell ref="T197:U197"/>
    <mergeCell ref="V197:W197"/>
    <mergeCell ref="T196:U196"/>
    <mergeCell ref="V196:W196"/>
    <mergeCell ref="C197:F197"/>
    <mergeCell ref="G197:J197"/>
    <mergeCell ref="K197:N197"/>
    <mergeCell ref="O197:Q197"/>
    <mergeCell ref="R197:S197"/>
    <mergeCell ref="C207:F207"/>
    <mergeCell ref="G207:J207"/>
    <mergeCell ref="K207:N207"/>
    <mergeCell ref="O207:Q207"/>
    <mergeCell ref="R207:S207"/>
    <mergeCell ref="T207:U207"/>
    <mergeCell ref="V207:W207"/>
    <mergeCell ref="C208:F208"/>
    <mergeCell ref="G208:J208"/>
    <mergeCell ref="K208:N208"/>
    <mergeCell ref="O208:Q208"/>
    <mergeCell ref="R208:S208"/>
    <mergeCell ref="T208:U208"/>
    <mergeCell ref="V208:W208"/>
    <mergeCell ref="C198:F198"/>
    <mergeCell ref="G198:J198"/>
    <mergeCell ref="K198:N198"/>
    <mergeCell ref="O198:Q198"/>
    <mergeCell ref="R198:S198"/>
    <mergeCell ref="T198:U198"/>
    <mergeCell ref="V198:W198"/>
    <mergeCell ref="G199:J199"/>
    <mergeCell ref="K199:N199"/>
    <mergeCell ref="O199:Q199"/>
    <mergeCell ref="R199:S199"/>
    <mergeCell ref="T199:U199"/>
    <mergeCell ref="V199:W199"/>
    <mergeCell ref="A202:Y202"/>
    <mergeCell ref="K203:W203"/>
    <mergeCell ref="R204:S204"/>
    <mergeCell ref="T204:U204"/>
    <mergeCell ref="V204:W204"/>
    <mergeCell ref="C199:F199"/>
    <mergeCell ref="C203:F203"/>
    <mergeCell ref="G203:J203"/>
    <mergeCell ref="C204:F204"/>
    <mergeCell ref="G204:J204"/>
    <mergeCell ref="K204:N204"/>
    <mergeCell ref="O204:Q204"/>
    <mergeCell ref="C205:F205"/>
    <mergeCell ref="G205:J205"/>
    <mergeCell ref="K205:N205"/>
    <mergeCell ref="O205:Q205"/>
    <mergeCell ref="R205:S205"/>
    <mergeCell ref="T205:U205"/>
    <mergeCell ref="V205:W205"/>
    <mergeCell ref="C206:F206"/>
    <mergeCell ref="G206:J206"/>
    <mergeCell ref="K206:N206"/>
    <mergeCell ref="O206:Q206"/>
    <mergeCell ref="R206:S206"/>
    <mergeCell ref="T206:U206"/>
    <mergeCell ref="V206:W206"/>
    <mergeCell ref="A210:Y210"/>
    <mergeCell ref="A254:Y254"/>
    <mergeCell ref="C209:F209"/>
    <mergeCell ref="G209:J209"/>
    <mergeCell ref="K209:N209"/>
    <mergeCell ref="O209:Q209"/>
    <mergeCell ref="R209:S209"/>
    <mergeCell ref="T209:U209"/>
    <mergeCell ref="V209:W209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8.63"/>
    <col customWidth="1" min="2" max="2" width="38.0"/>
    <col customWidth="1" min="3" max="3" width="28.0"/>
    <col customWidth="1" min="4" max="4" width="48.13"/>
    <col customWidth="1" min="5" max="5" width="25.5"/>
  </cols>
  <sheetData>
    <row r="2" ht="15.75" customHeight="1">
      <c r="A2" s="74" t="s">
        <v>314</v>
      </c>
    </row>
    <row r="3" ht="15.75" customHeight="1">
      <c r="A3" s="75" t="s">
        <v>315</v>
      </c>
    </row>
    <row r="4" ht="37.5" customHeight="1">
      <c r="A4" s="76"/>
    </row>
    <row r="5" ht="37.5" customHeight="1">
      <c r="A5" s="77">
        <v>45662.0</v>
      </c>
      <c r="B5" s="78" t="s">
        <v>316</v>
      </c>
      <c r="C5" s="79"/>
      <c r="D5" s="80"/>
      <c r="E5" s="80"/>
    </row>
    <row r="6" ht="37.5" customHeight="1">
      <c r="A6" s="81" t="s">
        <v>317</v>
      </c>
      <c r="B6" s="81" t="s">
        <v>62</v>
      </c>
      <c r="C6" s="81" t="s">
        <v>119</v>
      </c>
      <c r="D6" s="32" t="s">
        <v>318</v>
      </c>
      <c r="E6" s="82" t="s">
        <v>64</v>
      </c>
    </row>
    <row r="7" ht="37.5" customHeight="1">
      <c r="A7" s="83">
        <v>1.0</v>
      </c>
      <c r="B7" s="84" t="s">
        <v>41</v>
      </c>
      <c r="C7" s="84" t="s">
        <v>182</v>
      </c>
      <c r="D7" s="85" t="s">
        <v>319</v>
      </c>
      <c r="E7" s="84" t="s">
        <v>320</v>
      </c>
    </row>
    <row r="8" ht="37.5" customHeight="1">
      <c r="A8" s="83">
        <v>2.0</v>
      </c>
      <c r="B8" s="84" t="s">
        <v>44</v>
      </c>
      <c r="C8" s="84" t="s">
        <v>150</v>
      </c>
      <c r="D8" s="85" t="s">
        <v>321</v>
      </c>
      <c r="E8" s="84" t="s">
        <v>322</v>
      </c>
    </row>
    <row r="9" ht="37.5" customHeight="1">
      <c r="A9" s="83">
        <v>3.0</v>
      </c>
      <c r="B9" s="84" t="s">
        <v>56</v>
      </c>
      <c r="C9" s="84" t="s">
        <v>234</v>
      </c>
      <c r="D9" s="85" t="s">
        <v>323</v>
      </c>
      <c r="E9" s="84" t="s">
        <v>324</v>
      </c>
    </row>
    <row r="10" ht="37.5" customHeight="1">
      <c r="A10" s="83">
        <v>4.0</v>
      </c>
      <c r="B10" s="84" t="s">
        <v>50</v>
      </c>
      <c r="C10" s="84" t="s">
        <v>178</v>
      </c>
      <c r="D10" s="85" t="s">
        <v>325</v>
      </c>
      <c r="E10" s="84" t="s">
        <v>326</v>
      </c>
    </row>
    <row r="11" ht="37.5" customHeight="1">
      <c r="A11" s="83">
        <v>5.0</v>
      </c>
      <c r="B11" s="84" t="s">
        <v>51</v>
      </c>
      <c r="C11" s="84" t="s">
        <v>244</v>
      </c>
      <c r="D11" s="85" t="s">
        <v>327</v>
      </c>
      <c r="E11" s="84" t="s">
        <v>328</v>
      </c>
    </row>
    <row r="12" ht="37.5" customHeight="1"/>
    <row r="13" ht="37.5" customHeight="1"/>
    <row r="14" ht="37.5" customHeight="1">
      <c r="A14" s="77">
        <v>45693.0</v>
      </c>
      <c r="B14" s="78" t="s">
        <v>329</v>
      </c>
      <c r="C14" s="79"/>
      <c r="D14" s="80"/>
      <c r="E14" s="80"/>
    </row>
    <row r="15" ht="37.5" customHeight="1">
      <c r="A15" s="81" t="s">
        <v>317</v>
      </c>
      <c r="B15" s="81" t="s">
        <v>62</v>
      </c>
      <c r="C15" s="81" t="s">
        <v>119</v>
      </c>
      <c r="D15" s="32" t="s">
        <v>318</v>
      </c>
      <c r="E15" s="82" t="s">
        <v>64</v>
      </c>
    </row>
    <row r="16" ht="37.5" customHeight="1">
      <c r="A16" s="83">
        <v>1.0</v>
      </c>
      <c r="B16" s="84" t="s">
        <v>41</v>
      </c>
      <c r="C16" s="84" t="s">
        <v>330</v>
      </c>
      <c r="D16" s="85" t="s">
        <v>331</v>
      </c>
      <c r="E16" s="84" t="s">
        <v>332</v>
      </c>
    </row>
    <row r="17" ht="37.5" customHeight="1">
      <c r="A17" s="83">
        <v>2.0</v>
      </c>
      <c r="B17" s="84" t="s">
        <v>44</v>
      </c>
      <c r="C17" s="84" t="s">
        <v>333</v>
      </c>
      <c r="D17" s="85" t="s">
        <v>334</v>
      </c>
      <c r="E17" s="84" t="s">
        <v>335</v>
      </c>
    </row>
    <row r="18" ht="37.5" customHeight="1">
      <c r="A18" s="83">
        <v>3.0</v>
      </c>
      <c r="B18" s="84" t="s">
        <v>37</v>
      </c>
      <c r="C18" s="84" t="s">
        <v>336</v>
      </c>
      <c r="D18" s="85" t="s">
        <v>337</v>
      </c>
      <c r="E18" s="84" t="s">
        <v>338</v>
      </c>
    </row>
    <row r="19">
      <c r="A19" s="83">
        <v>4.0</v>
      </c>
      <c r="B19" s="84" t="s">
        <v>56</v>
      </c>
      <c r="C19" s="84" t="s">
        <v>339</v>
      </c>
      <c r="D19" s="85" t="s">
        <v>340</v>
      </c>
      <c r="E19" s="84" t="s">
        <v>341</v>
      </c>
    </row>
    <row r="20" ht="37.5" customHeight="1">
      <c r="A20" s="83">
        <v>5.0</v>
      </c>
      <c r="B20" s="84" t="s">
        <v>45</v>
      </c>
      <c r="C20" s="84" t="s">
        <v>342</v>
      </c>
      <c r="D20" s="85" t="s">
        <v>343</v>
      </c>
      <c r="E20" s="84" t="s">
        <v>344</v>
      </c>
    </row>
    <row r="21" ht="37.5" customHeight="1"/>
    <row r="22" ht="37.5" customHeight="1"/>
    <row r="23" ht="37.5" customHeight="1">
      <c r="A23" s="77">
        <v>45721.0</v>
      </c>
      <c r="B23" s="78" t="s">
        <v>345</v>
      </c>
      <c r="C23" s="79"/>
      <c r="D23" s="80"/>
      <c r="E23" s="80"/>
    </row>
    <row r="24" ht="37.5" customHeight="1">
      <c r="A24" s="81" t="s">
        <v>317</v>
      </c>
      <c r="B24" s="81" t="s">
        <v>62</v>
      </c>
      <c r="C24" s="81" t="s">
        <v>119</v>
      </c>
      <c r="D24" s="32" t="s">
        <v>318</v>
      </c>
      <c r="E24" s="82" t="s">
        <v>64</v>
      </c>
    </row>
    <row r="25" ht="45.0" customHeight="1">
      <c r="A25" s="83">
        <v>1.0</v>
      </c>
      <c r="B25" s="84" t="s">
        <v>41</v>
      </c>
      <c r="C25" s="84" t="s">
        <v>346</v>
      </c>
      <c r="D25" s="85" t="s">
        <v>347</v>
      </c>
      <c r="E25" s="84" t="s">
        <v>348</v>
      </c>
    </row>
    <row r="26" ht="45.0" customHeight="1">
      <c r="A26" s="83">
        <v>2.0</v>
      </c>
      <c r="B26" s="84" t="s">
        <v>44</v>
      </c>
      <c r="C26" s="84" t="s">
        <v>349</v>
      </c>
      <c r="D26" s="85" t="s">
        <v>350</v>
      </c>
      <c r="E26" s="84" t="s">
        <v>351</v>
      </c>
    </row>
    <row r="27" ht="45.0" customHeight="1">
      <c r="A27" s="83">
        <v>3.0</v>
      </c>
      <c r="B27" s="84" t="s">
        <v>37</v>
      </c>
      <c r="C27" s="84" t="s">
        <v>352</v>
      </c>
      <c r="D27" s="85" t="s">
        <v>353</v>
      </c>
      <c r="E27" s="84" t="s">
        <v>354</v>
      </c>
    </row>
    <row r="28" ht="45.0" customHeight="1">
      <c r="A28" s="83">
        <v>4.0</v>
      </c>
      <c r="B28" s="84" t="s">
        <v>56</v>
      </c>
      <c r="C28" s="84" t="s">
        <v>230</v>
      </c>
      <c r="D28" s="85" t="s">
        <v>355</v>
      </c>
      <c r="E28" s="84" t="s">
        <v>356</v>
      </c>
    </row>
    <row r="29" ht="45.0" customHeight="1">
      <c r="A29" s="83">
        <v>5.0</v>
      </c>
      <c r="B29" s="84" t="s">
        <v>45</v>
      </c>
      <c r="C29" s="84" t="s">
        <v>357</v>
      </c>
      <c r="D29" s="85" t="s">
        <v>358</v>
      </c>
      <c r="E29" s="84" t="s">
        <v>359</v>
      </c>
    </row>
    <row r="30" ht="37.5" customHeight="1"/>
    <row r="31" ht="37.5" customHeight="1"/>
    <row r="32" ht="37.5" customHeight="1">
      <c r="A32" s="77">
        <v>45752.0</v>
      </c>
      <c r="B32" s="78" t="s">
        <v>360</v>
      </c>
      <c r="C32" s="79"/>
      <c r="D32" s="80"/>
      <c r="E32" s="80"/>
    </row>
    <row r="33" ht="37.5" customHeight="1">
      <c r="A33" s="81" t="s">
        <v>317</v>
      </c>
      <c r="B33" s="81" t="s">
        <v>62</v>
      </c>
      <c r="C33" s="81" t="s">
        <v>119</v>
      </c>
      <c r="D33" s="32" t="s">
        <v>318</v>
      </c>
      <c r="E33" s="82" t="s">
        <v>64</v>
      </c>
    </row>
    <row r="34" ht="37.5" customHeight="1">
      <c r="A34" s="83">
        <v>1.0</v>
      </c>
      <c r="B34" s="84" t="s">
        <v>41</v>
      </c>
      <c r="C34" s="84" t="s">
        <v>190</v>
      </c>
      <c r="D34" s="85" t="s">
        <v>361</v>
      </c>
      <c r="E34" s="84" t="s">
        <v>362</v>
      </c>
    </row>
    <row r="35">
      <c r="A35" s="83">
        <v>2.0</v>
      </c>
      <c r="B35" s="84" t="s">
        <v>37</v>
      </c>
      <c r="C35" s="84" t="s">
        <v>133</v>
      </c>
      <c r="D35" s="85" t="s">
        <v>363</v>
      </c>
      <c r="E35" s="84" t="s">
        <v>364</v>
      </c>
    </row>
    <row r="36" ht="37.5" customHeight="1">
      <c r="A36" s="83">
        <v>3.0</v>
      </c>
      <c r="B36" s="84" t="s">
        <v>44</v>
      </c>
      <c r="C36" s="84" t="s">
        <v>182</v>
      </c>
      <c r="D36" s="85" t="s">
        <v>365</v>
      </c>
      <c r="E36" s="84" t="s">
        <v>366</v>
      </c>
    </row>
    <row r="37" ht="37.5" customHeight="1">
      <c r="A37" s="83">
        <v>4.0</v>
      </c>
      <c r="B37" s="84" t="s">
        <v>56</v>
      </c>
      <c r="C37" s="84" t="s">
        <v>234</v>
      </c>
      <c r="D37" s="85" t="s">
        <v>367</v>
      </c>
      <c r="E37" s="84" t="s">
        <v>368</v>
      </c>
    </row>
    <row r="38" ht="37.5" customHeight="1">
      <c r="A38" s="83">
        <v>5.0</v>
      </c>
      <c r="B38" s="84" t="s">
        <v>51</v>
      </c>
      <c r="C38" s="84" t="s">
        <v>253</v>
      </c>
      <c r="D38" s="85" t="s">
        <v>369</v>
      </c>
      <c r="E38" s="84" t="s">
        <v>370</v>
      </c>
    </row>
    <row r="39" ht="37.5" customHeight="1"/>
    <row r="40">
      <c r="A40" s="29"/>
      <c r="B40" s="29"/>
      <c r="C40" s="29"/>
      <c r="D40" s="29"/>
      <c r="E40" s="29"/>
    </row>
    <row r="41">
      <c r="A41" s="29"/>
      <c r="B41" s="29"/>
      <c r="C41" s="29"/>
      <c r="D41" s="29"/>
      <c r="E41" s="29"/>
    </row>
    <row r="42">
      <c r="A42" s="29"/>
      <c r="B42" s="29"/>
      <c r="C42" s="29"/>
      <c r="D42" s="29"/>
      <c r="E42" s="29"/>
    </row>
  </sheetData>
  <mergeCells count="7">
    <mergeCell ref="A2:E2"/>
    <mergeCell ref="A3:E3"/>
    <mergeCell ref="A4:E4"/>
    <mergeCell ref="A12:E13"/>
    <mergeCell ref="A21:E22"/>
    <mergeCell ref="A30:E31"/>
    <mergeCell ref="A39:E39"/>
  </mergeCells>
  <drawing r:id="rId1"/>
</worksheet>
</file>